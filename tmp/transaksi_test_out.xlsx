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dian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(* #,##0_);_(* \(#,##0\);_(* &quot;-&quot;_);_(@_)"/>
    <numFmt numFmtId="56" formatCode="&quot;上午/下午 &quot;hh&quot;時&quot;mm&quot;分&quot;ss&quot;秒 &quot;"/>
    <numFmt numFmtId="164" formatCode="mmmm\ d"/>
    <numFmt numFmtId="165" formatCode="mmm\ d"/>
    <numFmt numFmtId="166" formatCode="#,##0;\(#,##0\)"/>
    <numFmt numFmtId="167" formatCode="dd\ mmm\ yyyy"/>
    <numFmt numFmtId="168" formatCode="d\ mmmm\ yyyy"/>
    <numFmt numFmtId="169" formatCode="d\ mmm\ yyyy"/>
    <numFmt numFmtId="170" formatCode="m\ d"/>
    <numFmt numFmtId="171" formatCode="m\,\ d"/>
    <numFmt numFmtId="172" formatCode="m/d/yyyy"/>
    <numFmt numFmtId="173" formatCode="d&quot;-&quot;mmm&quot;-&quot;yyyy"/>
    <numFmt numFmtId="174" formatCode="mmm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jl.kh/" TargetMode="External"/><Relationship Id="rId2" Type="http://schemas.openxmlformats.org/officeDocument/2006/relationships/hyperlink" Target="http://jl.k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V6"/>
  <sheetViews>
    <sheetView workbookViewId="0" rightToLeft="0"/>
  </sheetViews>
  <sheetData>
    <row r="1">
      <c r="A1" t="str">
        <v>Transaksi</v>
      </c>
      <c r="B1" t="str">
        <v>Tgl</v>
      </c>
      <c r="C1" t="str">
        <v>Data Donatur</v>
      </c>
      <c r="EU1" t="str">
        <v>Total</v>
      </c>
    </row>
    <row r="2">
      <c r="A2" t="str">
        <v>No</v>
      </c>
      <c r="B2" t="str">
        <v>Tgl</v>
      </c>
      <c r="C2" t="str">
        <v>Nama</v>
      </c>
      <c r="D2" t="str">
        <v>Alamat</v>
      </c>
      <c r="E2" t="str">
        <v>Kelurahan</v>
      </c>
      <c r="F2" t="str">
        <v>Kecamatan</v>
      </c>
      <c r="G2" t="str">
        <v>Kota/Kab</v>
      </c>
      <c r="H2" t="str">
        <v>Provinsi</v>
      </c>
      <c r="I2" t="str">
        <v>No HP</v>
      </c>
      <c r="J2" t="str">
        <v>Penempatan</v>
      </c>
      <c r="K2" t="str">
        <v>PJ</v>
      </c>
      <c r="L2" t="str">
        <v>Status</v>
      </c>
      <c r="M2" t="str">
        <v>Desember</v>
      </c>
      <c r="N2" t="str">
        <v>Januari</v>
      </c>
      <c r="O2" t="str">
        <v>Febuari</v>
      </c>
      <c r="P2" t="str">
        <v>Maret</v>
      </c>
      <c r="R2" t="str">
        <v>April</v>
      </c>
      <c r="T2" t="str">
        <v>Mei</v>
      </c>
      <c r="V2" t="str">
        <v>Juni</v>
      </c>
      <c r="X2" t="str">
        <v>Juli</v>
      </c>
      <c r="Z2" t="str">
        <v>Agustus</v>
      </c>
      <c r="AB2" t="str">
        <v>March 2025</v>
      </c>
      <c r="AE2" t="str">
        <v>January 2026</v>
      </c>
      <c r="AH2" t="str">
        <v>May 2023</v>
      </c>
      <c r="AK2" t="str">
        <v>October 2022</v>
      </c>
      <c r="EO2" t="str">
        <v>des 25</v>
      </c>
      <c r="EU2" t="str">
        <v>Total</v>
      </c>
    </row>
    <row r="3">
      <c r="AB3" t="str">
        <v>tgl</v>
      </c>
      <c r="AC3" t="str">
        <v>dana</v>
      </c>
      <c r="AD3" t="str">
        <v>keterangan</v>
      </c>
      <c r="AE3" t="str">
        <v>tgl</v>
      </c>
      <c r="AF3" t="str">
        <v>dana</v>
      </c>
      <c r="AG3" t="str">
        <v>keterangan</v>
      </c>
      <c r="AH3" t="str">
        <v>tgl</v>
      </c>
      <c r="AI3" t="str">
        <v>dana</v>
      </c>
      <c r="AJ3" t="str">
        <v>keterangan</v>
      </c>
      <c r="AK3" t="str">
        <v>tgl</v>
      </c>
      <c r="AL3" t="str">
        <v>dana</v>
      </c>
      <c r="AM3" t="str">
        <v>keterangan</v>
      </c>
      <c r="BB3" t="str">
        <v>keterangan</v>
      </c>
    </row>
    <row r="4">
      <c r="A4">
        <v>1</v>
      </c>
      <c r="B4" t="str">
        <v>1 March 2025</v>
      </c>
      <c r="C4" t="str">
        <v>Endry Dendi Rudia</v>
      </c>
      <c r="AB4" t="str">
        <v>1 March 2025</v>
      </c>
      <c r="AC4">
        <v>10000</v>
      </c>
      <c r="AD4" t="str">
        <v>donasi</v>
      </c>
      <c r="BA4">
        <v>30000</v>
      </c>
      <c r="EU4">
        <v>10000</v>
      </c>
    </row>
    <row r="5">
      <c r="A5">
        <v>2</v>
      </c>
      <c r="B5" t="str">
        <v>1 January 2026</v>
      </c>
      <c r="C5" t="str">
        <v>Mamduh abi Darda</v>
      </c>
      <c r="AE5" t="str">
        <v>1 January 2026</v>
      </c>
      <c r="AF5">
        <v>20000</v>
      </c>
      <c r="AG5" t="str">
        <v>donasi</v>
      </c>
      <c r="BA5">
        <v>5000</v>
      </c>
      <c r="EU5">
        <v>20000</v>
      </c>
    </row>
    <row r="6">
      <c r="A6">
        <v>3</v>
      </c>
      <c r="B6" t="str">
        <v>10 May 2023</v>
      </c>
      <c r="C6" t="str">
        <v>Puspa</v>
      </c>
      <c r="AH6" t="str">
        <v>10 May 2023</v>
      </c>
      <c r="AI6">
        <v>15000</v>
      </c>
      <c r="AJ6" t="str">
        <v>donasi</v>
      </c>
      <c r="BA6">
        <v>11000</v>
      </c>
      <c r="EU6">
        <v>15000</v>
      </c>
    </row>
  </sheetData>
  <pageMargins left="0.7" right="0.7" top="0.75" bottom="0.75" header="0.3" footer="0.3"/>
  <ignoredErrors>
    <ignoredError numberStoredAsText="1" sqref="A1:EV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V313"/>
  <sheetViews>
    <sheetView workbookViewId="0" rightToLeft="0"/>
  </sheetViews>
  <sheetData>
    <row r="1">
      <c r="B1" t="str">
        <v>Tgl</v>
      </c>
      <c r="C1" t="str">
        <v>No ID</v>
      </c>
      <c r="D1" t="str">
        <v>Data Donatur</v>
      </c>
      <c r="E1" t="str">
        <v>Data Donatur</v>
      </c>
      <c r="O1" t="str">
        <v>Donasi 2022 &amp; Desember 2021</v>
      </c>
      <c r="EU1" t="str">
        <v>Total</v>
      </c>
    </row>
    <row r="2">
      <c r="D2" t="str">
        <v>Nama</v>
      </c>
      <c r="E2" t="str">
        <v>Nomer Kunci</v>
      </c>
      <c r="F2" t="str">
        <v>Alamat</v>
      </c>
      <c r="G2" t="str">
        <v>Kelurahan</v>
      </c>
      <c r="H2" t="str">
        <v>Kecamatan</v>
      </c>
      <c r="I2" t="str">
        <v>Kota/kab</v>
      </c>
      <c r="J2" t="str">
        <v>Provinsi</v>
      </c>
      <c r="K2" t="str">
        <v>No HP</v>
      </c>
      <c r="L2" t="str">
        <v>Pnmpatan</v>
      </c>
      <c r="M2" t="str">
        <v>PJ</v>
      </c>
      <c r="N2" t="str">
        <v>Status</v>
      </c>
      <c r="O2" t="str">
        <v>Desember</v>
      </c>
      <c r="P2" t="str">
        <v>Januari</v>
      </c>
      <c r="Q2" t="str">
        <v>Febuari</v>
      </c>
      <c r="R2" t="str">
        <v>Maret</v>
      </c>
      <c r="T2" t="str">
        <v>April</v>
      </c>
      <c r="V2" t="str">
        <v>Mei</v>
      </c>
      <c r="X2" t="str">
        <v>Juni</v>
      </c>
      <c r="Z2" t="str">
        <v>Juli</v>
      </c>
      <c r="AB2" t="str">
        <v>Agustus</v>
      </c>
      <c r="AD2" t="str">
        <v>September</v>
      </c>
      <c r="AG2" t="str">
        <v>Oktober</v>
      </c>
      <c r="AJ2" t="str">
        <v>November</v>
      </c>
      <c r="AM2" t="str">
        <v>Desember</v>
      </c>
      <c r="AP2" t="str">
        <v>Januari 23</v>
      </c>
      <c r="AS2" t="str">
        <v>Februari 23</v>
      </c>
      <c r="AV2" t="str">
        <v>Maret 23</v>
      </c>
      <c r="AY2" s="1">
        <v>45039</v>
      </c>
      <c r="BB2" s="1">
        <v>45069</v>
      </c>
      <c r="BE2" s="1">
        <v>45100</v>
      </c>
      <c r="BH2" s="1">
        <v>45130</v>
      </c>
      <c r="BK2" s="1">
        <v>45161</v>
      </c>
      <c r="BN2" t="str">
        <v>Sept 23</v>
      </c>
      <c r="BQ2" t="str">
        <v>Okt 23</v>
      </c>
      <c r="BT2" s="1">
        <v>45253</v>
      </c>
      <c r="BW2" s="1">
        <v>45283</v>
      </c>
      <c r="BZ2" s="1">
        <v>45315</v>
      </c>
      <c r="CC2" s="1">
        <v>45346</v>
      </c>
      <c r="CF2" s="1">
        <v>45375</v>
      </c>
      <c r="CI2" s="1">
        <v>45406</v>
      </c>
      <c r="CL2" s="1">
        <v>45436</v>
      </c>
      <c r="CO2" s="1">
        <v>45467</v>
      </c>
      <c r="CR2" s="1">
        <v>45497</v>
      </c>
      <c r="CU2" s="1">
        <v>45528</v>
      </c>
      <c r="CX2" s="1">
        <v>45559</v>
      </c>
      <c r="DA2" s="1">
        <v>45589</v>
      </c>
      <c r="DD2" s="1">
        <v>45620</v>
      </c>
      <c r="DG2" s="1">
        <v>45650</v>
      </c>
      <c r="DJ2" s="1">
        <v>45682</v>
      </c>
      <c r="DM2" s="1">
        <v>45713</v>
      </c>
      <c r="DP2" s="1">
        <v>45741</v>
      </c>
      <c r="DS2" s="1">
        <v>45772</v>
      </c>
      <c r="DV2" s="1">
        <v>45802</v>
      </c>
      <c r="DY2" s="1">
        <v>45833</v>
      </c>
      <c r="EB2" s="1">
        <v>45863</v>
      </c>
      <c r="EE2" s="1">
        <v>45894</v>
      </c>
      <c r="EH2" s="1">
        <v>45925</v>
      </c>
      <c r="EK2" s="1">
        <v>45931</v>
      </c>
      <c r="EN2" s="1">
        <v>45962</v>
      </c>
      <c r="EQ2" t="str">
        <v>Des 2025</v>
      </c>
    </row>
    <row r="3">
      <c r="AD3" t="str">
        <v>tgl</v>
      </c>
      <c r="AE3" t="str">
        <v>dana</v>
      </c>
      <c r="AF3" t="str">
        <v>keterangan</v>
      </c>
      <c r="AG3" t="str">
        <v>tgl</v>
      </c>
      <c r="AH3" t="str">
        <v>dana</v>
      </c>
      <c r="AI3" t="str">
        <v>keterangan</v>
      </c>
      <c r="AJ3" t="str">
        <v>tgl</v>
      </c>
      <c r="AK3" t="str">
        <v>dana</v>
      </c>
      <c r="AL3" t="str">
        <v>keterangan</v>
      </c>
      <c r="AM3" t="str">
        <v>tgl</v>
      </c>
      <c r="AN3" t="str">
        <v>dana</v>
      </c>
      <c r="AO3" t="str">
        <v>keterangan</v>
      </c>
      <c r="AP3" t="str">
        <v>tgl</v>
      </c>
      <c r="AQ3" t="str">
        <v>dana</v>
      </c>
      <c r="AR3" t="str">
        <v>keterangan</v>
      </c>
      <c r="AS3" t="str">
        <v>tgl</v>
      </c>
      <c r="AT3" t="str">
        <v>dana</v>
      </c>
      <c r="AU3" t="str">
        <v>keterangan</v>
      </c>
      <c r="AV3" t="str">
        <v>tgl</v>
      </c>
      <c r="AW3" t="str">
        <v>dana</v>
      </c>
      <c r="AX3" t="str">
        <v>keterangan</v>
      </c>
      <c r="AY3" t="str">
        <v>tgl</v>
      </c>
      <c r="AZ3" t="str">
        <v>dana</v>
      </c>
      <c r="BA3" t="str">
        <v>keterangan</v>
      </c>
      <c r="BB3" t="str">
        <v>tgl</v>
      </c>
      <c r="BD3" t="str">
        <v>keterangan</v>
      </c>
      <c r="BE3" t="str">
        <v>tgl</v>
      </c>
      <c r="BF3" t="str">
        <v>dana</v>
      </c>
      <c r="BG3" t="str">
        <v>keterangan</v>
      </c>
      <c r="BH3" t="str">
        <v>tgl</v>
      </c>
      <c r="BI3" t="str">
        <v>dana</v>
      </c>
      <c r="BJ3" t="str">
        <v>keterangan</v>
      </c>
      <c r="BK3" t="str">
        <v>tgl</v>
      </c>
      <c r="BL3" t="str">
        <v>dana</v>
      </c>
      <c r="BM3" t="str">
        <v>keterangan</v>
      </c>
      <c r="BN3" t="str">
        <v>tgl</v>
      </c>
      <c r="BO3" t="str">
        <v>dana</v>
      </c>
      <c r="BP3" t="str">
        <v>keterangan</v>
      </c>
      <c r="BQ3" t="str">
        <v>tgl</v>
      </c>
      <c r="BR3" t="str">
        <v>dana</v>
      </c>
      <c r="BS3" t="str">
        <v>ket</v>
      </c>
      <c r="BT3" t="str">
        <v>tgl</v>
      </c>
      <c r="BU3" t="str">
        <v>dana</v>
      </c>
      <c r="BV3" t="str">
        <v>ket</v>
      </c>
      <c r="BW3" t="str">
        <v>tgl</v>
      </c>
      <c r="BX3" t="str">
        <v>dana</v>
      </c>
      <c r="BY3" t="str">
        <v>ket</v>
      </c>
      <c r="BZ3" t="str">
        <v>tgl</v>
      </c>
      <c r="CA3" t="str">
        <v>dana</v>
      </c>
      <c r="CB3" t="str">
        <v>ket</v>
      </c>
      <c r="CC3" t="str">
        <v>tgl</v>
      </c>
      <c r="CD3" t="str">
        <v>dana</v>
      </c>
      <c r="CE3" t="str">
        <v>ket</v>
      </c>
      <c r="CF3" t="str">
        <v>tgl</v>
      </c>
      <c r="CG3" t="str">
        <v>dana</v>
      </c>
      <c r="CH3" t="str">
        <v>ket</v>
      </c>
      <c r="CI3" t="str">
        <v>tgl</v>
      </c>
      <c r="CJ3" t="str">
        <v>dana</v>
      </c>
      <c r="CK3" t="str">
        <v>ket</v>
      </c>
      <c r="CL3" t="str">
        <v>tgl</v>
      </c>
      <c r="CM3" t="str">
        <v>dana</v>
      </c>
      <c r="CN3" t="str">
        <v>ket</v>
      </c>
      <c r="CO3" t="str">
        <v>tgl</v>
      </c>
      <c r="CP3" t="str">
        <v>dana</v>
      </c>
      <c r="CQ3" t="str">
        <v>ket</v>
      </c>
      <c r="CR3" t="str">
        <v>tgl</v>
      </c>
      <c r="CS3" t="str">
        <v>dana</v>
      </c>
      <c r="CT3" t="str">
        <v>ket</v>
      </c>
      <c r="CU3" t="str">
        <v>tgl</v>
      </c>
      <c r="CV3" t="str">
        <v>dana</v>
      </c>
      <c r="CW3" t="str">
        <v>ket</v>
      </c>
      <c r="CX3" t="str">
        <v>tgl</v>
      </c>
      <c r="CY3" t="str">
        <v>dana</v>
      </c>
      <c r="CZ3" t="str">
        <v>ket</v>
      </c>
      <c r="DA3" t="str">
        <v>tgl</v>
      </c>
      <c r="DB3" t="str">
        <v>dana</v>
      </c>
      <c r="DC3" t="str">
        <v>ket</v>
      </c>
      <c r="DD3" t="str">
        <v>tgl</v>
      </c>
      <c r="DE3" t="str">
        <v>dana</v>
      </c>
      <c r="DF3" t="str">
        <v>ket</v>
      </c>
      <c r="DG3" t="str">
        <v>tgl</v>
      </c>
      <c r="DH3" t="str">
        <v>dana</v>
      </c>
      <c r="DI3" t="str">
        <v>ket</v>
      </c>
      <c r="DJ3" t="str">
        <v>tgl</v>
      </c>
      <c r="DK3" t="str">
        <v>dana</v>
      </c>
      <c r="DL3" t="str">
        <v>ket</v>
      </c>
      <c r="DM3" t="str">
        <v>tgl</v>
      </c>
      <c r="DN3" t="str">
        <v>dana</v>
      </c>
      <c r="DO3" t="str">
        <v>ket</v>
      </c>
      <c r="DP3" t="str">
        <v>tgl</v>
      </c>
      <c r="DQ3" t="str">
        <v>dana</v>
      </c>
      <c r="DR3" t="str">
        <v>ket</v>
      </c>
      <c r="DS3" t="str">
        <v>tgl</v>
      </c>
      <c r="DT3" t="str">
        <v>dana</v>
      </c>
      <c r="DU3" t="str">
        <v>ket</v>
      </c>
      <c r="DV3" t="str">
        <v>tgl</v>
      </c>
      <c r="DW3" t="str">
        <v>dana</v>
      </c>
      <c r="DX3" t="str">
        <v>ket</v>
      </c>
      <c r="DY3" t="str">
        <v>tgl</v>
      </c>
      <c r="DZ3" t="str">
        <v>dana</v>
      </c>
      <c r="EA3" t="str">
        <v>ket</v>
      </c>
      <c r="EB3" t="str">
        <v>tgl</v>
      </c>
      <c r="EC3" t="str">
        <v>dana</v>
      </c>
      <c r="ED3" t="str">
        <v>ket</v>
      </c>
      <c r="EE3" t="str">
        <v>tgl</v>
      </c>
      <c r="EF3" t="str">
        <v>dana</v>
      </c>
      <c r="EG3" t="str">
        <v>ket</v>
      </c>
      <c r="EH3" t="str">
        <v>tgl</v>
      </c>
      <c r="EI3" t="str">
        <v>dana</v>
      </c>
      <c r="EJ3" t="str">
        <v>ket</v>
      </c>
      <c r="EK3" t="str">
        <v>tgl</v>
      </c>
      <c r="EL3" t="str">
        <v>dana</v>
      </c>
      <c r="EM3" t="str">
        <v>ket</v>
      </c>
      <c r="EN3" t="str">
        <v>tgl</v>
      </c>
      <c r="EO3" t="str">
        <v>dana</v>
      </c>
      <c r="EP3" t="str">
        <v>ket</v>
      </c>
      <c r="EQ3" t="str">
        <v>tgl</v>
      </c>
      <c r="ER3" t="str">
        <v>dana</v>
      </c>
      <c r="ES3" t="str">
        <v>ket</v>
      </c>
    </row>
    <row r="4">
      <c r="A4">
        <v>1</v>
      </c>
      <c r="B4" s="1">
        <v>45168</v>
      </c>
      <c r="C4" t="str">
        <v>0920220147</v>
      </c>
      <c r="D4" t="str">
        <v>Apotik As syifa</v>
      </c>
      <c r="F4" t="str">
        <v>JL.Letjen  Ibrahim Ajdji ,Sindang Barang</v>
      </c>
      <c r="G4" t="str">
        <v>Sindang Barang</v>
      </c>
      <c r="H4" t="str">
        <v>Bogor barat</v>
      </c>
      <c r="I4" t="str">
        <v xml:space="preserve">Kota Bogor </v>
      </c>
      <c r="J4" t="str">
        <v>Jawa barat</v>
      </c>
      <c r="K4">
        <v>81382251991</v>
      </c>
      <c r="L4" t="str">
        <v>Publik</v>
      </c>
      <c r="M4" t="str">
        <v>Agus Tiarman</v>
      </c>
      <c r="N4" t="str">
        <v>aktif</v>
      </c>
      <c r="BK4">
        <v>30</v>
      </c>
      <c r="BM4" t="str">
        <v>penempatan</v>
      </c>
      <c r="BN4">
        <v>27</v>
      </c>
      <c r="BP4" t="str">
        <v>kosong</v>
      </c>
      <c r="BT4">
        <v>27</v>
      </c>
      <c r="BU4">
        <v>13000</v>
      </c>
      <c r="BW4">
        <v>23</v>
      </c>
      <c r="BY4" t="str">
        <v>kosong</v>
      </c>
      <c r="BZ4">
        <v>22</v>
      </c>
      <c r="CA4">
        <v>16000</v>
      </c>
      <c r="CC4">
        <v>6</v>
      </c>
      <c r="CD4">
        <v>5000</v>
      </c>
      <c r="CF4">
        <v>6</v>
      </c>
      <c r="CG4">
        <v>3500</v>
      </c>
      <c r="CI4">
        <v>3</v>
      </c>
      <c r="CJ4">
        <v>5500</v>
      </c>
      <c r="CL4">
        <v>7</v>
      </c>
      <c r="CM4">
        <v>2000</v>
      </c>
      <c r="CO4">
        <v>5</v>
      </c>
      <c r="CP4">
        <v>4500</v>
      </c>
      <c r="CT4" t="str">
        <v>kosong</v>
      </c>
      <c r="CU4">
        <v>8</v>
      </c>
      <c r="CV4">
        <v>7000</v>
      </c>
      <c r="CX4">
        <v>4</v>
      </c>
      <c r="CY4">
        <v>3000</v>
      </c>
      <c r="DC4" t="str">
        <v>kosong</v>
      </c>
      <c r="DG4">
        <v>11</v>
      </c>
      <c r="DI4" t="str">
        <v>kosong</v>
      </c>
      <c r="DJ4">
        <v>2</v>
      </c>
      <c r="DK4">
        <v>8000</v>
      </c>
      <c r="DM4">
        <v>4</v>
      </c>
      <c r="DN4">
        <v>4500</v>
      </c>
      <c r="DP4">
        <v>4</v>
      </c>
      <c r="DQ4">
        <v>4000</v>
      </c>
      <c r="DS4">
        <v>9</v>
      </c>
      <c r="DT4">
        <v>7000</v>
      </c>
      <c r="DV4">
        <v>7</v>
      </c>
      <c r="DW4">
        <v>6500</v>
      </c>
      <c r="DY4">
        <v>10</v>
      </c>
      <c r="DZ4">
        <v>22000</v>
      </c>
      <c r="EB4">
        <v>2</v>
      </c>
      <c r="ED4" t="str">
        <v>kosong</v>
      </c>
      <c r="EE4">
        <v>5</v>
      </c>
      <c r="EF4">
        <v>9000</v>
      </c>
      <c r="EH4">
        <v>2</v>
      </c>
      <c r="EJ4" t="str">
        <v>kosong</v>
      </c>
      <c r="EK4">
        <v>2</v>
      </c>
      <c r="EL4">
        <v>6000</v>
      </c>
      <c r="EN4">
        <v>4</v>
      </c>
      <c r="EO4">
        <v>9000</v>
      </c>
      <c r="EQ4">
        <v>1</v>
      </c>
      <c r="ES4" t="str">
        <v>kosong</v>
      </c>
    </row>
    <row r="5">
      <c r="A5">
        <v>2</v>
      </c>
      <c r="B5" s="1">
        <v>45168</v>
      </c>
      <c r="C5" t="str">
        <v>0920220148</v>
      </c>
      <c r="D5" t="str">
        <v>Warung Sayur Syauki/Bimba AUEO Aradea</v>
      </c>
      <c r="F5" t="str">
        <v xml:space="preserve">Komplek Aradea </v>
      </c>
      <c r="G5" t="str">
        <v>Sindang Barang</v>
      </c>
      <c r="H5" t="str">
        <v>Bogor barat</v>
      </c>
      <c r="I5" t="str">
        <v xml:space="preserve">Kota Bogor </v>
      </c>
      <c r="J5" t="str">
        <v>Jawa barat</v>
      </c>
      <c r="K5">
        <v>83147743300</v>
      </c>
      <c r="L5" t="str">
        <v>Publik</v>
      </c>
      <c r="M5" t="str">
        <v>Agus Tiarman</v>
      </c>
      <c r="N5" t="str">
        <v>aktif</v>
      </c>
      <c r="BK5">
        <v>30</v>
      </c>
      <c r="BM5" t="str">
        <v>penempatan</v>
      </c>
      <c r="BN5">
        <v>28</v>
      </c>
      <c r="BO5">
        <v>7500</v>
      </c>
      <c r="BT5">
        <v>23</v>
      </c>
      <c r="BV5" t="str">
        <v>kosong</v>
      </c>
      <c r="BW5">
        <v>1</v>
      </c>
      <c r="BX5">
        <v>5000</v>
      </c>
      <c r="BZ5">
        <v>5</v>
      </c>
      <c r="CB5" t="str">
        <v>kosong</v>
      </c>
      <c r="CC5">
        <v>22</v>
      </c>
      <c r="CD5">
        <v>8000</v>
      </c>
      <c r="CN5" t="str">
        <v>ditarik</v>
      </c>
      <c r="EN5">
        <v>7</v>
      </c>
      <c r="EO5">
        <v>21000</v>
      </c>
      <c r="EQ5">
        <v>9</v>
      </c>
      <c r="ES5" t="str">
        <v>kosong</v>
      </c>
    </row>
    <row r="6">
      <c r="A6">
        <v>3</v>
      </c>
      <c r="B6" s="1">
        <v>45168</v>
      </c>
      <c r="C6" t="str">
        <v>0920220207</v>
      </c>
      <c r="D6" t="str">
        <v xml:space="preserve">Soto H.Agus Barito/Ibu Ani </v>
      </c>
      <c r="F6" t="str">
        <v>Jl Raya Ciomas</v>
      </c>
      <c r="G6" t="str">
        <v>Sindang Barang</v>
      </c>
      <c r="H6" t="str">
        <v>Bogor barat</v>
      </c>
      <c r="I6" t="str">
        <v xml:space="preserve">Kota Bogor </v>
      </c>
      <c r="J6" t="str">
        <v>Jawa barat</v>
      </c>
      <c r="K6">
        <v>85711142299</v>
      </c>
      <c r="L6" t="str">
        <v>Publik</v>
      </c>
      <c r="M6" t="str">
        <v>Agus Tiarman</v>
      </c>
      <c r="N6" t="str">
        <v>aktif</v>
      </c>
      <c r="BK6">
        <v>30</v>
      </c>
      <c r="BM6" t="str">
        <v>penempatan</v>
      </c>
      <c r="BN6">
        <v>27</v>
      </c>
      <c r="BO6">
        <v>22200</v>
      </c>
      <c r="BT6">
        <v>3</v>
      </c>
      <c r="BU6">
        <v>5000</v>
      </c>
      <c r="BW6">
        <v>23</v>
      </c>
      <c r="BY6" t="str">
        <v>kosong</v>
      </c>
      <c r="BZ6">
        <v>5</v>
      </c>
      <c r="CB6" t="str">
        <v>kosong</v>
      </c>
      <c r="CC6">
        <v>2</v>
      </c>
      <c r="CD6">
        <v>1000</v>
      </c>
      <c r="CF6">
        <v>4</v>
      </c>
      <c r="CG6">
        <v>2000</v>
      </c>
      <c r="CL6">
        <v>7</v>
      </c>
      <c r="CM6">
        <v>2000</v>
      </c>
      <c r="CQ6" t="str">
        <v>kosong</v>
      </c>
      <c r="CT6" t="str">
        <v>kosong</v>
      </c>
      <c r="CU6">
        <v>5</v>
      </c>
      <c r="CW6" t="str">
        <v>ditarik</v>
      </c>
      <c r="EN6">
        <v>7</v>
      </c>
      <c r="EO6">
        <v>145000</v>
      </c>
    </row>
    <row r="7">
      <c r="A7">
        <v>4</v>
      </c>
      <c r="B7" s="1">
        <v>45168</v>
      </c>
      <c r="C7" t="str">
        <v>0920220208</v>
      </c>
      <c r="D7" t="str">
        <v>Aida JNE Sindang Barang 2</v>
      </c>
      <c r="F7" t="str">
        <v xml:space="preserve">JL.Sindang Barang Raya </v>
      </c>
      <c r="G7" t="str">
        <v>Sindang Barang</v>
      </c>
      <c r="H7" t="str">
        <v>Bogor barat</v>
      </c>
      <c r="I7" t="str">
        <v xml:space="preserve">Kota Bogor </v>
      </c>
      <c r="J7" t="str">
        <v>Jawa barat</v>
      </c>
      <c r="K7">
        <v>89670335872</v>
      </c>
      <c r="L7" t="str">
        <v>Publik</v>
      </c>
      <c r="M7" t="str">
        <v>Agus Tiarman</v>
      </c>
      <c r="N7" t="str">
        <v>non aktif</v>
      </c>
      <c r="BK7">
        <v>30</v>
      </c>
      <c r="BM7" t="str">
        <v>penempatan</v>
      </c>
      <c r="BN7">
        <v>27</v>
      </c>
      <c r="BP7" t="str">
        <v>kosong</v>
      </c>
      <c r="BT7">
        <v>10</v>
      </c>
      <c r="BV7" t="str">
        <v>kosong</v>
      </c>
      <c r="BW7">
        <v>23</v>
      </c>
      <c r="BY7" t="str">
        <v>kosong</v>
      </c>
      <c r="BZ7">
        <v>5</v>
      </c>
      <c r="CB7" t="str">
        <v>kosong</v>
      </c>
      <c r="CC7">
        <v>2</v>
      </c>
      <c r="CD7">
        <v>12000</v>
      </c>
      <c r="CF7">
        <v>4</v>
      </c>
      <c r="CH7" t="str">
        <v>kosong</v>
      </c>
      <c r="CL7">
        <v>7</v>
      </c>
      <c r="CM7">
        <v>2000</v>
      </c>
      <c r="CT7" t="str">
        <v>kosong</v>
      </c>
      <c r="CU7">
        <v>5</v>
      </c>
      <c r="CW7" t="str">
        <v>ditarik</v>
      </c>
    </row>
    <row r="8">
      <c r="A8">
        <v>2</v>
      </c>
      <c r="B8" s="1">
        <v>45168</v>
      </c>
      <c r="C8" t="str">
        <v>0920220209</v>
      </c>
      <c r="D8" t="str">
        <v>Toko  Ikmal</v>
      </c>
      <c r="F8" t="str">
        <v>Jl. Bayangkhara  Sindang Barang</v>
      </c>
      <c r="G8" t="str">
        <v>Sindang Barang</v>
      </c>
      <c r="H8" t="str">
        <v>Bogor barat</v>
      </c>
      <c r="I8" t="str">
        <v>Bogor Kota</v>
      </c>
      <c r="J8" t="str">
        <v>Jawa barat</v>
      </c>
      <c r="K8">
        <v>83105951948</v>
      </c>
      <c r="L8" t="str">
        <v>Publik</v>
      </c>
      <c r="M8" t="str">
        <v>Agus Tiarman</v>
      </c>
      <c r="N8" t="str">
        <v>aktif</v>
      </c>
      <c r="BK8">
        <v>30</v>
      </c>
      <c r="BM8" t="str">
        <v>penempatan</v>
      </c>
      <c r="BN8">
        <v>27</v>
      </c>
      <c r="BP8" t="str">
        <v>kosong</v>
      </c>
      <c r="BT8">
        <v>10</v>
      </c>
      <c r="BV8" t="str">
        <v>kosong</v>
      </c>
      <c r="BW8">
        <v>23</v>
      </c>
      <c r="BY8" t="str">
        <v>kosong</v>
      </c>
      <c r="CB8" t="str">
        <v>kosong</v>
      </c>
      <c r="CR8">
        <v>22</v>
      </c>
      <c r="CS8">
        <v>10000</v>
      </c>
      <c r="DA8">
        <v>25</v>
      </c>
      <c r="DB8">
        <v>6000</v>
      </c>
      <c r="DG8" t="str">
        <v>28    20</v>
      </c>
      <c r="DH8">
        <f>75000+37000</f>
        <v>112000</v>
      </c>
      <c r="DJ8">
        <v>21</v>
      </c>
      <c r="DK8">
        <v>39000</v>
      </c>
      <c r="DM8">
        <v>24</v>
      </c>
      <c r="DN8">
        <v>32000</v>
      </c>
      <c r="DP8">
        <v>19</v>
      </c>
      <c r="DQ8">
        <v>43000</v>
      </c>
      <c r="DS8">
        <v>25</v>
      </c>
      <c r="DT8">
        <v>10000</v>
      </c>
      <c r="DU8" t="str">
        <v>kosong</v>
      </c>
      <c r="DV8" s="1">
        <v>45678</v>
      </c>
      <c r="DW8">
        <f>41000+20000</f>
        <v>61000</v>
      </c>
      <c r="DY8">
        <v>23</v>
      </c>
      <c r="DZ8">
        <v>8000</v>
      </c>
      <c r="EB8">
        <v>23</v>
      </c>
      <c r="EC8">
        <v>11000</v>
      </c>
      <c r="EE8">
        <v>25</v>
      </c>
      <c r="EF8">
        <v>5000</v>
      </c>
      <c r="EJ8" t="str">
        <v>kosong</v>
      </c>
      <c r="EK8">
        <v>22</v>
      </c>
      <c r="EL8">
        <v>10000</v>
      </c>
      <c r="EP8" t="str">
        <v>kosong</v>
      </c>
    </row>
    <row r="9">
      <c r="A9">
        <v>6</v>
      </c>
      <c r="B9" s="1">
        <v>45168</v>
      </c>
      <c r="C9" t="str">
        <v>0920220210</v>
      </c>
      <c r="D9" t="str">
        <v>Sagala Bolu toko kue/ warung bu enong</v>
      </c>
      <c r="F9" t="str">
        <v>JL.Sindang Barang Raya / kretek kelor</v>
      </c>
      <c r="G9" t="str">
        <v>Sindang Barang</v>
      </c>
      <c r="H9" t="str">
        <v>Bogor barat</v>
      </c>
      <c r="I9" t="str">
        <v xml:space="preserve">Kota Bogor </v>
      </c>
      <c r="J9" t="str">
        <v>Jawa barat</v>
      </c>
      <c r="K9" t="str">
        <v>89514843054/ 081286928424</v>
      </c>
      <c r="L9" t="str">
        <v>Publik</v>
      </c>
      <c r="M9" t="str">
        <v>Agus Tiarman</v>
      </c>
      <c r="N9" t="str">
        <v>aktif</v>
      </c>
      <c r="BK9">
        <v>30</v>
      </c>
      <c r="BM9" t="str">
        <v>penempatan</v>
      </c>
      <c r="BN9">
        <v>27</v>
      </c>
      <c r="BP9" t="str">
        <v>kosong</v>
      </c>
      <c r="BT9">
        <v>10</v>
      </c>
      <c r="BV9" t="str">
        <v>kosong</v>
      </c>
      <c r="BW9">
        <v>23</v>
      </c>
      <c r="BY9" t="str">
        <v>kosong</v>
      </c>
      <c r="BZ9">
        <v>4</v>
      </c>
      <c r="CA9">
        <v>3000</v>
      </c>
      <c r="EN9" t="str">
        <v>31  25</v>
      </c>
      <c r="EO9">
        <v>36000</v>
      </c>
      <c r="EP9" t="str">
        <v>penempatan</v>
      </c>
    </row>
    <row r="10">
      <c r="A10">
        <v>3</v>
      </c>
      <c r="B10" s="1">
        <v>45168</v>
      </c>
      <c r="C10" t="str">
        <v>0920220212</v>
      </c>
      <c r="D10" t="str">
        <v xml:space="preserve">Bunga Snack </v>
      </c>
      <c r="F10" t="str">
        <v>JL.Syarifudin (deket prapatan sindang barang jero)</v>
      </c>
      <c r="G10" t="str">
        <v>Sindang Barang</v>
      </c>
      <c r="H10" t="str">
        <v>Bogor barat</v>
      </c>
      <c r="I10" t="str">
        <v xml:space="preserve">Kota Bogor </v>
      </c>
      <c r="J10" t="str">
        <v>Jawa barat</v>
      </c>
      <c r="K10">
        <v>82123309705</v>
      </c>
      <c r="L10" t="str">
        <v>Publik</v>
      </c>
      <c r="M10" t="str">
        <v>Agus Tiarman</v>
      </c>
      <c r="N10" t="str">
        <v>aktif</v>
      </c>
      <c r="BK10">
        <v>30</v>
      </c>
      <c r="BM10" t="str">
        <v>penempatan</v>
      </c>
      <c r="BN10">
        <v>27</v>
      </c>
      <c r="BO10">
        <v>18500</v>
      </c>
      <c r="BT10">
        <v>3</v>
      </c>
      <c r="BU10">
        <v>9000</v>
      </c>
      <c r="BW10">
        <v>1</v>
      </c>
      <c r="BX10">
        <v>5000</v>
      </c>
      <c r="BZ10">
        <v>4</v>
      </c>
      <c r="CA10">
        <v>10000</v>
      </c>
      <c r="CC10">
        <v>2</v>
      </c>
      <c r="CD10">
        <v>9000</v>
      </c>
      <c r="CF10">
        <v>5</v>
      </c>
      <c r="CG10">
        <v>7500</v>
      </c>
      <c r="CI10">
        <v>3</v>
      </c>
      <c r="CJ10">
        <v>5500</v>
      </c>
      <c r="CL10">
        <v>7</v>
      </c>
      <c r="CM10">
        <v>23000</v>
      </c>
      <c r="CO10">
        <v>7</v>
      </c>
      <c r="CP10">
        <v>15500</v>
      </c>
      <c r="CR10">
        <v>8</v>
      </c>
      <c r="CS10">
        <v>9500</v>
      </c>
      <c r="CU10">
        <v>5</v>
      </c>
      <c r="CV10">
        <v>10000</v>
      </c>
      <c r="CX10">
        <v>3</v>
      </c>
      <c r="CY10">
        <v>10000</v>
      </c>
      <c r="DA10">
        <v>7</v>
      </c>
      <c r="DB10">
        <v>20000</v>
      </c>
      <c r="DD10">
        <v>7</v>
      </c>
      <c r="DE10">
        <v>7000</v>
      </c>
      <c r="DG10">
        <v>6</v>
      </c>
      <c r="DH10">
        <v>13500</v>
      </c>
      <c r="DJ10">
        <v>6</v>
      </c>
      <c r="DK10">
        <v>10000</v>
      </c>
      <c r="DM10">
        <v>4</v>
      </c>
      <c r="DN10">
        <v>20000</v>
      </c>
      <c r="DP10">
        <v>9</v>
      </c>
      <c r="DQ10">
        <v>10500</v>
      </c>
      <c r="DS10">
        <v>9</v>
      </c>
      <c r="DT10">
        <v>13000</v>
      </c>
      <c r="DV10">
        <v>7</v>
      </c>
      <c r="DW10">
        <v>10000</v>
      </c>
      <c r="DY10">
        <v>4</v>
      </c>
      <c r="DZ10">
        <v>20000</v>
      </c>
      <c r="EB10">
        <v>3</v>
      </c>
      <c r="EC10">
        <v>13000</v>
      </c>
      <c r="EE10">
        <v>4</v>
      </c>
      <c r="EF10">
        <v>23000</v>
      </c>
      <c r="EH10">
        <v>1</v>
      </c>
      <c r="EI10">
        <v>6000</v>
      </c>
      <c r="EK10">
        <v>2</v>
      </c>
      <c r="EL10">
        <v>13000</v>
      </c>
      <c r="EN10">
        <v>4</v>
      </c>
      <c r="EO10">
        <v>14500</v>
      </c>
      <c r="EQ10">
        <v>2</v>
      </c>
      <c r="ER10">
        <v>10000</v>
      </c>
    </row>
    <row r="11">
      <c r="A11">
        <v>4</v>
      </c>
      <c r="B11" s="1">
        <v>45168</v>
      </c>
      <c r="C11" t="str">
        <v>0920220213</v>
      </c>
      <c r="D11" t="str">
        <v>Warung Mamalia 3</v>
      </c>
      <c r="F11" t="str">
        <v xml:space="preserve">Jl.Loji raya </v>
      </c>
      <c r="G11" t="str">
        <v>Loji</v>
      </c>
      <c r="H11" t="str">
        <v>Bogor barat</v>
      </c>
      <c r="I11" t="str">
        <v xml:space="preserve">Kota Bogor </v>
      </c>
      <c r="J11" t="str">
        <v>Jawa barat</v>
      </c>
      <c r="K11" t="str">
        <v>0852 31748824</v>
      </c>
      <c r="L11" t="str">
        <v>Publik</v>
      </c>
      <c r="M11" t="str">
        <v>Agus Tiarman</v>
      </c>
      <c r="N11" t="str">
        <v>aktif</v>
      </c>
      <c r="BK11">
        <v>30</v>
      </c>
      <c r="BM11" t="str">
        <v>penempatan</v>
      </c>
      <c r="BN11">
        <v>27</v>
      </c>
      <c r="BO11">
        <v>8000</v>
      </c>
      <c r="BT11">
        <v>6</v>
      </c>
      <c r="BU11">
        <v>16000</v>
      </c>
      <c r="BW11">
        <v>23</v>
      </c>
      <c r="BY11" t="str">
        <v>kosong</v>
      </c>
      <c r="BZ11">
        <v>5</v>
      </c>
      <c r="CA11">
        <v>6000</v>
      </c>
      <c r="CC11">
        <v>2</v>
      </c>
      <c r="CD11">
        <v>7000</v>
      </c>
      <c r="CF11">
        <v>13</v>
      </c>
      <c r="CG11">
        <v>18000</v>
      </c>
      <c r="CI11">
        <v>18</v>
      </c>
      <c r="CJ11">
        <v>35500</v>
      </c>
      <c r="CL11">
        <v>7</v>
      </c>
      <c r="CM11">
        <v>9500</v>
      </c>
      <c r="CO11">
        <v>5</v>
      </c>
      <c r="CP11">
        <v>11000</v>
      </c>
      <c r="CR11">
        <v>4</v>
      </c>
      <c r="CS11">
        <v>18000</v>
      </c>
      <c r="CU11">
        <v>5</v>
      </c>
      <c r="CV11">
        <v>9000</v>
      </c>
      <c r="CX11">
        <v>3</v>
      </c>
      <c r="CY11">
        <v>10000</v>
      </c>
      <c r="DA11">
        <v>4</v>
      </c>
      <c r="DB11">
        <v>13500</v>
      </c>
      <c r="DD11">
        <v>7</v>
      </c>
      <c r="DE11">
        <v>14500</v>
      </c>
      <c r="DG11">
        <v>2</v>
      </c>
      <c r="DH11">
        <v>5000</v>
      </c>
      <c r="DJ11">
        <v>6</v>
      </c>
      <c r="DK11">
        <v>25000</v>
      </c>
      <c r="DM11">
        <v>6</v>
      </c>
      <c r="DN11">
        <v>21000</v>
      </c>
      <c r="DP11">
        <v>3</v>
      </c>
      <c r="DQ11">
        <v>55000</v>
      </c>
      <c r="DU11" t="str">
        <v>tutup</v>
      </c>
      <c r="DV11">
        <v>7</v>
      </c>
      <c r="DX11" t="str">
        <v>kosong</v>
      </c>
      <c r="DY11">
        <v>4</v>
      </c>
      <c r="DZ11">
        <v>20000</v>
      </c>
      <c r="EB11">
        <v>7</v>
      </c>
      <c r="EC11">
        <v>9500</v>
      </c>
      <c r="EE11">
        <v>6</v>
      </c>
      <c r="EF11">
        <v>18000</v>
      </c>
      <c r="EH11">
        <v>2</v>
      </c>
      <c r="EI11">
        <v>17500</v>
      </c>
      <c r="EK11">
        <v>2</v>
      </c>
      <c r="EL11">
        <v>35000</v>
      </c>
      <c r="EN11">
        <v>4</v>
      </c>
      <c r="EO11">
        <v>20000</v>
      </c>
      <c r="EQ11">
        <v>1</v>
      </c>
      <c r="ER11">
        <v>19000</v>
      </c>
    </row>
    <row r="12">
      <c r="A12">
        <v>5</v>
      </c>
      <c r="B12" s="1">
        <v>45168</v>
      </c>
      <c r="C12" t="str">
        <v>0920220214</v>
      </c>
      <c r="D12" t="str">
        <v>Warteg Jawa (warjaw)</v>
      </c>
      <c r="F12" t="str">
        <v>Jl Letjen Ibrahim Adji</v>
      </c>
      <c r="G12" t="str">
        <v>Loji</v>
      </c>
      <c r="H12" t="str">
        <v>Bogor barat</v>
      </c>
      <c r="I12" t="str">
        <v xml:space="preserve">Kota Bogor </v>
      </c>
      <c r="J12" t="str">
        <v>Jawa barat</v>
      </c>
      <c r="K12">
        <v>81517833341</v>
      </c>
      <c r="L12" t="str">
        <v>Publik</v>
      </c>
      <c r="M12" t="str">
        <v>Agus Tiarman</v>
      </c>
      <c r="N12" t="str">
        <v>aktif</v>
      </c>
      <c r="BK12">
        <v>30</v>
      </c>
      <c r="BM12" t="str">
        <v>penempatan</v>
      </c>
      <c r="BN12">
        <v>27</v>
      </c>
      <c r="BO12">
        <v>13000</v>
      </c>
      <c r="BT12">
        <v>3</v>
      </c>
      <c r="BU12">
        <v>35000</v>
      </c>
      <c r="BW12">
        <v>1</v>
      </c>
      <c r="BX12">
        <v>7000</v>
      </c>
      <c r="BZ12">
        <v>5</v>
      </c>
      <c r="CA12">
        <v>15000</v>
      </c>
      <c r="CC12">
        <v>6</v>
      </c>
      <c r="CD12">
        <v>8000</v>
      </c>
      <c r="CI12">
        <v>18</v>
      </c>
      <c r="CJ12">
        <v>24500</v>
      </c>
      <c r="CL12">
        <v>7</v>
      </c>
      <c r="CM12">
        <v>18000</v>
      </c>
      <c r="CO12">
        <v>20</v>
      </c>
      <c r="CP12">
        <v>22000</v>
      </c>
      <c r="CR12">
        <v>11</v>
      </c>
      <c r="CS12">
        <v>16000</v>
      </c>
      <c r="CU12">
        <v>5</v>
      </c>
      <c r="CV12">
        <v>35000</v>
      </c>
      <c r="CX12">
        <v>3</v>
      </c>
      <c r="CY12">
        <v>22000</v>
      </c>
      <c r="DA12">
        <v>4</v>
      </c>
      <c r="DB12">
        <v>16000</v>
      </c>
      <c r="DD12">
        <v>7</v>
      </c>
      <c r="DE12">
        <v>7000</v>
      </c>
      <c r="DG12">
        <v>4</v>
      </c>
      <c r="DH12">
        <v>9000</v>
      </c>
      <c r="DJ12">
        <v>6</v>
      </c>
      <c r="DK12">
        <v>13000</v>
      </c>
      <c r="DM12">
        <v>6</v>
      </c>
      <c r="DN12">
        <v>10000</v>
      </c>
      <c r="DR12" t="str">
        <v>kosong</v>
      </c>
      <c r="DS12">
        <v>8</v>
      </c>
      <c r="DT12">
        <v>25000</v>
      </c>
      <c r="DV12">
        <v>7</v>
      </c>
      <c r="DW12">
        <v>3000</v>
      </c>
      <c r="DY12">
        <v>13</v>
      </c>
      <c r="DZ12">
        <v>8000</v>
      </c>
      <c r="EB12">
        <v>9</v>
      </c>
      <c r="EC12">
        <v>3000</v>
      </c>
      <c r="EE12">
        <v>14</v>
      </c>
      <c r="EF12">
        <v>12000</v>
      </c>
      <c r="EH12">
        <v>18</v>
      </c>
      <c r="EJ12" t="str">
        <v>kosong</v>
      </c>
      <c r="EK12">
        <v>9</v>
      </c>
      <c r="EM12" t="str">
        <v>kosong</v>
      </c>
      <c r="EN12">
        <v>10</v>
      </c>
      <c r="EO12">
        <v>12000</v>
      </c>
    </row>
    <row r="13">
      <c r="A13">
        <v>6</v>
      </c>
      <c r="B13" s="1">
        <v>45168</v>
      </c>
      <c r="C13" t="str">
        <v>0920220215</v>
      </c>
      <c r="D13" t="str">
        <v>Warteg Kharisma  Bahari loji</v>
      </c>
      <c r="F13" t="str">
        <v xml:space="preserve">Jl.Loji raya </v>
      </c>
      <c r="G13" t="str">
        <v>Loji</v>
      </c>
      <c r="H13" t="str">
        <v>Bogor barat</v>
      </c>
      <c r="I13" t="str">
        <v xml:space="preserve">Kota Bogor </v>
      </c>
      <c r="J13" t="str">
        <v>Jawa barat</v>
      </c>
      <c r="K13">
        <v>87843000439</v>
      </c>
      <c r="L13" t="str">
        <v>Publik</v>
      </c>
      <c r="M13" t="str">
        <v>Agus Tiarman</v>
      </c>
      <c r="N13" t="str">
        <v>aktif</v>
      </c>
      <c r="BK13">
        <v>30</v>
      </c>
      <c r="BM13" t="str">
        <v>penempatan</v>
      </c>
      <c r="BQ13">
        <v>30</v>
      </c>
      <c r="BR13">
        <v>100500</v>
      </c>
      <c r="BT13">
        <v>3</v>
      </c>
      <c r="BU13">
        <v>23000</v>
      </c>
      <c r="BW13">
        <v>1</v>
      </c>
      <c r="BX13">
        <v>21000</v>
      </c>
      <c r="BZ13">
        <v>5</v>
      </c>
      <c r="CA13">
        <v>31500</v>
      </c>
      <c r="CC13">
        <v>19</v>
      </c>
      <c r="CD13">
        <v>30000</v>
      </c>
      <c r="CF13">
        <v>7</v>
      </c>
      <c r="CG13">
        <v>16000</v>
      </c>
      <c r="CN13" t="str">
        <v>kosong</v>
      </c>
      <c r="CO13">
        <v>27</v>
      </c>
      <c r="CP13">
        <v>46000</v>
      </c>
      <c r="CR13">
        <v>11</v>
      </c>
      <c r="CS13">
        <v>28000</v>
      </c>
      <c r="CU13">
        <v>7</v>
      </c>
      <c r="CV13">
        <v>18000</v>
      </c>
      <c r="CX13">
        <v>4</v>
      </c>
      <c r="CY13">
        <v>62000</v>
      </c>
      <c r="DA13">
        <v>2</v>
      </c>
      <c r="DB13">
        <v>102000</v>
      </c>
      <c r="DD13">
        <v>6</v>
      </c>
      <c r="DE13">
        <v>148000</v>
      </c>
      <c r="DG13">
        <v>3</v>
      </c>
      <c r="DH13">
        <v>115000</v>
      </c>
      <c r="DJ13">
        <v>2</v>
      </c>
      <c r="DK13">
        <v>110000</v>
      </c>
      <c r="DM13">
        <v>3</v>
      </c>
      <c r="DN13">
        <v>65000</v>
      </c>
      <c r="DP13" t="str">
        <v>28     20</v>
      </c>
      <c r="DQ13">
        <f>160000+68000</f>
        <v>228000</v>
      </c>
      <c r="DS13">
        <v>23</v>
      </c>
      <c r="DT13">
        <v>150000</v>
      </c>
      <c r="DV13">
        <v>13</v>
      </c>
      <c r="DW13">
        <v>51000</v>
      </c>
      <c r="DY13">
        <v>5</v>
      </c>
      <c r="DZ13">
        <v>21500</v>
      </c>
      <c r="EB13">
        <v>2</v>
      </c>
      <c r="EC13">
        <v>34000</v>
      </c>
      <c r="EE13">
        <v>1</v>
      </c>
      <c r="EF13">
        <v>39000</v>
      </c>
      <c r="EH13">
        <v>1</v>
      </c>
      <c r="EI13">
        <v>36000</v>
      </c>
      <c r="EK13">
        <v>1</v>
      </c>
      <c r="EL13">
        <v>7000</v>
      </c>
      <c r="EN13">
        <v>3</v>
      </c>
      <c r="EO13">
        <v>17000</v>
      </c>
      <c r="EQ13">
        <v>2</v>
      </c>
      <c r="ER13">
        <v>28000</v>
      </c>
    </row>
    <row r="14">
      <c r="A14">
        <v>7</v>
      </c>
      <c r="B14" s="1">
        <v>45169</v>
      </c>
      <c r="C14" t="str">
        <v>0920220216</v>
      </c>
      <c r="D14" t="str">
        <v>RM Cahaya  Kapau</v>
      </c>
      <c r="F14" t="str">
        <v>JL.Mayjen  Ishak Djuarsa</v>
      </c>
      <c r="G14" t="str">
        <v>Gunung Batu</v>
      </c>
      <c r="H14" t="str">
        <v>Bogor barat</v>
      </c>
      <c r="I14" t="str">
        <v xml:space="preserve">Kota Bogor </v>
      </c>
      <c r="J14" t="str">
        <v>Jawa barat</v>
      </c>
      <c r="K14">
        <v>81398081416</v>
      </c>
      <c r="L14" t="str">
        <v>Publik</v>
      </c>
      <c r="M14" t="str">
        <v>Agus Tiarman</v>
      </c>
      <c r="N14" t="str">
        <v>aktif</v>
      </c>
      <c r="BK14">
        <v>31</v>
      </c>
      <c r="BM14" t="str">
        <v>penempatan</v>
      </c>
      <c r="BN14">
        <v>28</v>
      </c>
      <c r="BO14">
        <v>8500</v>
      </c>
      <c r="BT14">
        <v>2</v>
      </c>
      <c r="BU14">
        <v>28000</v>
      </c>
      <c r="BW14">
        <v>4</v>
      </c>
      <c r="BX14">
        <v>20000</v>
      </c>
      <c r="BZ14">
        <v>3</v>
      </c>
      <c r="CA14">
        <v>2000</v>
      </c>
      <c r="CC14">
        <v>2</v>
      </c>
      <c r="CD14">
        <v>17000</v>
      </c>
      <c r="CF14">
        <v>4</v>
      </c>
      <c r="CH14" t="str">
        <v>kosong</v>
      </c>
      <c r="CN14" t="str">
        <v>kosong</v>
      </c>
      <c r="CQ14" t="str">
        <v>kosong</v>
      </c>
      <c r="CT14" t="str">
        <v>kosong</v>
      </c>
      <c r="CW14" t="str">
        <v>kosong</v>
      </c>
      <c r="DJ14">
        <v>2</v>
      </c>
      <c r="DK14">
        <v>10000</v>
      </c>
      <c r="DM14">
        <v>4</v>
      </c>
      <c r="DN14">
        <v>8000</v>
      </c>
      <c r="DR14" t="str">
        <v>kosong</v>
      </c>
      <c r="DS14">
        <v>18</v>
      </c>
      <c r="DU14" t="str">
        <v>kosong</v>
      </c>
      <c r="DV14">
        <v>1</v>
      </c>
      <c r="DX14" t="str">
        <v>kosong</v>
      </c>
      <c r="EA14" t="str">
        <v>tutup</v>
      </c>
      <c r="EB14">
        <v>1</v>
      </c>
      <c r="ED14" t="str">
        <v>kosong</v>
      </c>
      <c r="EG14" t="str">
        <v>tutup</v>
      </c>
      <c r="EM14" t="str">
        <v>tutup</v>
      </c>
      <c r="EP14" t="str">
        <v>tutup</v>
      </c>
    </row>
    <row r="15">
      <c r="A15">
        <v>13</v>
      </c>
      <c r="B15" s="1">
        <v>45169</v>
      </c>
      <c r="C15" t="str">
        <v>0920220217</v>
      </c>
      <c r="D15" t="str">
        <v>Ayam Cipo/ ibu fatimah</v>
      </c>
      <c r="F15" t="str">
        <v>JL.Mayjen  Ishak Djuarsa/ jl anggrek 3</v>
      </c>
      <c r="G15" t="str">
        <v>Gunung Batu</v>
      </c>
      <c r="H15" t="str">
        <v>Bogor barat</v>
      </c>
      <c r="I15" t="str">
        <v xml:space="preserve">Kota Bogor </v>
      </c>
      <c r="J15" t="str">
        <v>Jawa barat</v>
      </c>
      <c r="K15">
        <v>83825223535</v>
      </c>
      <c r="L15" t="str">
        <v>Publik</v>
      </c>
      <c r="M15" t="str">
        <v>Agus Tiarman</v>
      </c>
      <c r="N15" t="str">
        <v>aktif</v>
      </c>
      <c r="BK15">
        <v>31</v>
      </c>
      <c r="BM15" t="str">
        <v>penempatan</v>
      </c>
      <c r="BT15">
        <v>22</v>
      </c>
      <c r="BU15">
        <v>7400</v>
      </c>
      <c r="BW15">
        <v>23</v>
      </c>
      <c r="BY15" t="str">
        <v>kosong</v>
      </c>
      <c r="BZ15">
        <v>15</v>
      </c>
      <c r="CA15">
        <v>2500</v>
      </c>
      <c r="CC15">
        <v>22</v>
      </c>
      <c r="CD15">
        <v>3000</v>
      </c>
      <c r="CF15">
        <v>18</v>
      </c>
      <c r="CG15">
        <v>1000</v>
      </c>
      <c r="CN15" t="str">
        <v>kosong</v>
      </c>
      <c r="CO15">
        <v>3</v>
      </c>
      <c r="CP15">
        <v>2500</v>
      </c>
      <c r="CT15" t="str">
        <v>kosong</v>
      </c>
      <c r="EK15">
        <v>24</v>
      </c>
      <c r="EL15">
        <v>445000</v>
      </c>
      <c r="EM15" t="str">
        <v>penempatan</v>
      </c>
      <c r="EN15">
        <v>21</v>
      </c>
      <c r="EO15">
        <v>825000</v>
      </c>
    </row>
    <row r="16">
      <c r="A16">
        <v>8</v>
      </c>
      <c r="B16" s="1">
        <v>45169</v>
      </c>
      <c r="C16" t="str">
        <v>0920220218</v>
      </c>
      <c r="D16" t="str">
        <v>Sulthan Plastik</v>
      </c>
      <c r="F16" t="str">
        <v>Jl,Raya Gunung Batu</v>
      </c>
      <c r="G16" t="str">
        <v>Gunung Batu</v>
      </c>
      <c r="H16" t="str">
        <v>Bogor barat</v>
      </c>
      <c r="I16" t="str">
        <v xml:space="preserve">Kota Bogor </v>
      </c>
      <c r="J16" t="str">
        <v>Jawa barat</v>
      </c>
      <c r="K16">
        <v>82223713662</v>
      </c>
      <c r="L16" t="str">
        <v>Publik</v>
      </c>
      <c r="M16" t="str">
        <v>Agus Tiarman</v>
      </c>
      <c r="N16" t="str">
        <v>non aktif</v>
      </c>
      <c r="BK16">
        <v>31</v>
      </c>
      <c r="BM16" t="str">
        <v>penempatan</v>
      </c>
      <c r="BN16">
        <v>28</v>
      </c>
      <c r="BO16">
        <v>3500</v>
      </c>
      <c r="BT16">
        <v>10</v>
      </c>
      <c r="BV16" t="str">
        <v>kosong</v>
      </c>
      <c r="BW16">
        <v>23</v>
      </c>
      <c r="BY16" t="str">
        <v>kosong</v>
      </c>
      <c r="BZ16">
        <v>3</v>
      </c>
      <c r="CA16">
        <v>5500</v>
      </c>
      <c r="CC16">
        <v>27</v>
      </c>
      <c r="CD16">
        <v>13000</v>
      </c>
      <c r="CF16">
        <v>21</v>
      </c>
      <c r="CG16">
        <v>6000</v>
      </c>
      <c r="CI16">
        <v>19</v>
      </c>
      <c r="CJ16">
        <v>11500</v>
      </c>
      <c r="CL16">
        <v>6</v>
      </c>
      <c r="CM16">
        <v>7000</v>
      </c>
      <c r="CO16">
        <v>26</v>
      </c>
      <c r="CP16">
        <v>33000</v>
      </c>
      <c r="CR16">
        <v>15</v>
      </c>
      <c r="CS16">
        <v>17000</v>
      </c>
      <c r="CU16">
        <v>23</v>
      </c>
      <c r="CV16">
        <v>10000</v>
      </c>
      <c r="CX16">
        <v>18</v>
      </c>
      <c r="CY16">
        <v>9500</v>
      </c>
      <c r="DA16">
        <v>21</v>
      </c>
      <c r="DB16">
        <v>16000</v>
      </c>
      <c r="DD16">
        <v>21</v>
      </c>
      <c r="DE16">
        <v>2000</v>
      </c>
      <c r="DG16">
        <v>17</v>
      </c>
      <c r="DH16">
        <v>16000</v>
      </c>
      <c r="DJ16">
        <v>8</v>
      </c>
      <c r="DL16" t="str">
        <v>kosong</v>
      </c>
      <c r="DM16">
        <v>17</v>
      </c>
      <c r="DN16">
        <v>2000</v>
      </c>
      <c r="DP16">
        <v>10</v>
      </c>
      <c r="DQ16">
        <v>7000</v>
      </c>
      <c r="DS16">
        <v>16</v>
      </c>
      <c r="DT16">
        <v>2000</v>
      </c>
      <c r="DV16">
        <v>9</v>
      </c>
      <c r="DW16">
        <v>10500</v>
      </c>
      <c r="DY16">
        <v>4</v>
      </c>
      <c r="EA16" t="str">
        <v>kosong</v>
      </c>
      <c r="ED16" t="str">
        <v>kosong</v>
      </c>
      <c r="EE16">
        <v>11</v>
      </c>
      <c r="EF16">
        <v>5000</v>
      </c>
      <c r="EG16" t="str">
        <v>Tarik</v>
      </c>
      <c r="EJ16" t="str">
        <v>ditarik</v>
      </c>
    </row>
    <row r="17">
      <c r="A17">
        <v>15</v>
      </c>
      <c r="B17" s="1">
        <v>45169</v>
      </c>
      <c r="C17" t="str">
        <v>0920220219</v>
      </c>
      <c r="D17" t="str">
        <v>Akbar Cell</v>
      </c>
      <c r="F17" t="str">
        <v>JL.Mayjen  Ishak Djuarsa</v>
      </c>
      <c r="G17" t="str">
        <v>Gunung Batu</v>
      </c>
      <c r="H17" t="str">
        <v>Bogor barat</v>
      </c>
      <c r="I17" t="str">
        <v xml:space="preserve">Kota Bogor </v>
      </c>
      <c r="J17" t="str">
        <v>Jawa barat</v>
      </c>
      <c r="K17">
        <v>87874970805</v>
      </c>
      <c r="L17" t="str">
        <v>Publik</v>
      </c>
      <c r="M17" t="str">
        <v>Agus Tiarman</v>
      </c>
      <c r="N17" t="str">
        <v>non aktif</v>
      </c>
      <c r="BK17">
        <v>31</v>
      </c>
      <c r="BM17" t="str">
        <v>penempatan</v>
      </c>
      <c r="BN17">
        <v>27</v>
      </c>
      <c r="BP17" t="str">
        <v>kosong</v>
      </c>
      <c r="BT17">
        <v>10</v>
      </c>
      <c r="BV17" t="str">
        <v>kosong</v>
      </c>
      <c r="BW17">
        <v>23</v>
      </c>
      <c r="BY17" t="str">
        <v>kosong</v>
      </c>
      <c r="BZ17">
        <v>3</v>
      </c>
      <c r="CA17">
        <v>7000</v>
      </c>
      <c r="CC17">
        <v>11</v>
      </c>
      <c r="CE17" t="str">
        <v>kosong</v>
      </c>
    </row>
    <row r="18">
      <c r="A18">
        <v>16</v>
      </c>
      <c r="B18" s="1">
        <v>45169</v>
      </c>
      <c r="C18" t="str">
        <v>0920220220</v>
      </c>
      <c r="D18" t="str">
        <v>TJS Barbershop</v>
      </c>
      <c r="F18" t="str">
        <v>Jl Mayjen Ishak Djuarsa</v>
      </c>
      <c r="G18" t="str">
        <v>Gunung Batu</v>
      </c>
      <c r="H18" t="str">
        <v>Bogor barat</v>
      </c>
      <c r="I18" t="str">
        <v xml:space="preserve">Kota Bogor </v>
      </c>
      <c r="J18" t="str">
        <v>Jawa barat</v>
      </c>
      <c r="K18">
        <v>88211571417</v>
      </c>
      <c r="L18" t="str">
        <v>Publik</v>
      </c>
      <c r="M18" t="str">
        <v>Agus Tiarman</v>
      </c>
      <c r="N18" t="str">
        <v>non aktif</v>
      </c>
      <c r="BK18">
        <v>31</v>
      </c>
      <c r="BM18" t="str">
        <v>penempatan</v>
      </c>
      <c r="BQ18">
        <v>3</v>
      </c>
      <c r="BR18">
        <v>3500</v>
      </c>
      <c r="BT18">
        <v>2</v>
      </c>
      <c r="BU18">
        <v>5000</v>
      </c>
      <c r="BW18">
        <v>4</v>
      </c>
      <c r="BX18">
        <v>12000</v>
      </c>
      <c r="BZ18">
        <v>4</v>
      </c>
      <c r="CA18">
        <v>3000</v>
      </c>
      <c r="CC18">
        <v>29</v>
      </c>
      <c r="CD18">
        <v>15000</v>
      </c>
      <c r="CN18" t="str">
        <v>ditarik</v>
      </c>
    </row>
    <row r="19">
      <c r="A19">
        <v>17</v>
      </c>
      <c r="B19" s="1">
        <v>45169</v>
      </c>
      <c r="C19" t="str">
        <v>0920220221</v>
      </c>
      <c r="D19" t="str">
        <v xml:space="preserve">Kamo Petshop </v>
      </c>
      <c r="F19" t="str">
        <v>Jl Mayjen Ishak Djuarsa</v>
      </c>
      <c r="G19" t="str">
        <v>Gunung Batu</v>
      </c>
      <c r="H19" t="str">
        <v>Bogor barat</v>
      </c>
      <c r="I19" t="str">
        <v xml:space="preserve">Kota Bogor </v>
      </c>
      <c r="J19" t="str">
        <v>Jawa barat</v>
      </c>
      <c r="K19">
        <v>89602092134</v>
      </c>
      <c r="L19" t="str">
        <v>Publik</v>
      </c>
      <c r="M19" t="str">
        <v>Agus Tiarman</v>
      </c>
      <c r="N19" t="str">
        <v>non aktif</v>
      </c>
      <c r="BK19">
        <v>31</v>
      </c>
      <c r="BM19" t="str">
        <v>penempatan</v>
      </c>
      <c r="BQ19">
        <v>3</v>
      </c>
      <c r="BR19">
        <v>2000</v>
      </c>
      <c r="BT19">
        <v>2</v>
      </c>
      <c r="BU19">
        <v>5000</v>
      </c>
      <c r="BW19">
        <v>23</v>
      </c>
      <c r="BY19" t="str">
        <v>kosong</v>
      </c>
      <c r="BZ19">
        <v>11</v>
      </c>
      <c r="CA19">
        <v>2000</v>
      </c>
      <c r="CC19">
        <v>6</v>
      </c>
      <c r="CD19">
        <v>3000</v>
      </c>
      <c r="CN19" t="str">
        <v>kosong</v>
      </c>
      <c r="CQ19" t="str">
        <v>kosong</v>
      </c>
      <c r="CT19" t="str">
        <v>ditarik</v>
      </c>
    </row>
    <row r="20">
      <c r="A20">
        <v>8</v>
      </c>
      <c r="B20" s="1">
        <v>45169</v>
      </c>
      <c r="C20" t="str">
        <v>0920220222</v>
      </c>
      <c r="D20" t="str">
        <v>Indo Gadai</v>
      </c>
      <c r="F20" t="str">
        <v>Jl Mayjen Ishak Djuarsa</v>
      </c>
      <c r="G20" t="str">
        <v>Gunung Batu</v>
      </c>
      <c r="H20" t="str">
        <v>Bogor barat</v>
      </c>
      <c r="I20" t="str">
        <v xml:space="preserve">Kota Bogor </v>
      </c>
      <c r="J20" t="str">
        <v>Jawa barat</v>
      </c>
      <c r="K20">
        <v>83832980082</v>
      </c>
      <c r="L20" t="str">
        <v>Publik</v>
      </c>
      <c r="M20" t="str">
        <v>Agus Tiarman</v>
      </c>
      <c r="N20" t="str">
        <v>aktif</v>
      </c>
      <c r="BK20">
        <v>31</v>
      </c>
      <c r="BM20" t="str">
        <v>penempatan</v>
      </c>
      <c r="BQ20">
        <v>3</v>
      </c>
      <c r="BR20">
        <v>10700</v>
      </c>
      <c r="BT20">
        <v>10</v>
      </c>
      <c r="BV20" t="str">
        <v>kosong</v>
      </c>
      <c r="BW20">
        <v>23</v>
      </c>
      <c r="BY20" t="str">
        <v>kosong</v>
      </c>
      <c r="BZ20">
        <v>11</v>
      </c>
      <c r="CB20" t="str">
        <v>kosong</v>
      </c>
      <c r="CC20">
        <v>6</v>
      </c>
      <c r="CD20">
        <v>15500</v>
      </c>
      <c r="CF20">
        <v>6</v>
      </c>
      <c r="CG20">
        <v>3000</v>
      </c>
      <c r="CI20">
        <v>19</v>
      </c>
      <c r="CJ20">
        <v>11000</v>
      </c>
      <c r="CL20">
        <v>9</v>
      </c>
      <c r="CM20">
        <v>8000</v>
      </c>
      <c r="CO20">
        <v>6</v>
      </c>
      <c r="CP20">
        <v>6000</v>
      </c>
      <c r="CR20">
        <v>8</v>
      </c>
      <c r="CS20">
        <v>8000</v>
      </c>
      <c r="CU20">
        <v>8</v>
      </c>
      <c r="CV20">
        <v>10000</v>
      </c>
      <c r="CX20">
        <v>4</v>
      </c>
      <c r="CY20">
        <v>10000</v>
      </c>
      <c r="DA20">
        <v>2</v>
      </c>
      <c r="DB20">
        <v>14500</v>
      </c>
      <c r="DD20">
        <v>6</v>
      </c>
      <c r="DE20">
        <v>6000</v>
      </c>
      <c r="DG20">
        <v>4</v>
      </c>
      <c r="DH20">
        <v>2000</v>
      </c>
      <c r="DJ20">
        <v>2</v>
      </c>
      <c r="DK20">
        <v>9000</v>
      </c>
      <c r="DM20">
        <v>4</v>
      </c>
      <c r="DN20">
        <v>8000</v>
      </c>
      <c r="DP20">
        <v>3</v>
      </c>
      <c r="DQ20">
        <v>12000</v>
      </c>
      <c r="DS20">
        <v>10</v>
      </c>
      <c r="DU20" t="str">
        <v>kosong</v>
      </c>
      <c r="DV20">
        <v>13</v>
      </c>
      <c r="DW20">
        <v>19000</v>
      </c>
      <c r="DY20">
        <v>4</v>
      </c>
      <c r="DZ20">
        <v>12000</v>
      </c>
      <c r="EB20">
        <v>2</v>
      </c>
      <c r="EC20">
        <v>18000</v>
      </c>
      <c r="EE20">
        <v>8</v>
      </c>
      <c r="EF20">
        <v>27000</v>
      </c>
      <c r="EH20">
        <v>2</v>
      </c>
      <c r="EI20">
        <v>21000</v>
      </c>
      <c r="EK20">
        <v>2</v>
      </c>
      <c r="EL20">
        <v>25000</v>
      </c>
      <c r="EN20">
        <v>3</v>
      </c>
      <c r="EO20">
        <v>8000</v>
      </c>
      <c r="EQ20">
        <v>2</v>
      </c>
      <c r="ER20">
        <v>12000</v>
      </c>
    </row>
    <row r="21">
      <c r="A21">
        <v>10</v>
      </c>
      <c r="B21" s="1">
        <v>45169</v>
      </c>
      <c r="C21" t="str">
        <v>0920220223</v>
      </c>
      <c r="D21" t="str">
        <v>Hilal Mart</v>
      </c>
      <c r="F21" t="str">
        <v>Jl Mayjen Ishak Djuarsa</v>
      </c>
      <c r="G21" t="str">
        <v>Gunung Batu</v>
      </c>
      <c r="H21" t="str">
        <v>Bogor barat</v>
      </c>
      <c r="I21" t="str">
        <v xml:space="preserve">Kota Bogor </v>
      </c>
      <c r="J21" t="str">
        <v>Jawa barat</v>
      </c>
      <c r="L21" t="str">
        <v>Publik</v>
      </c>
      <c r="M21" t="str">
        <v>Agus Tiarman</v>
      </c>
      <c r="N21" t="str">
        <v>non aktif</v>
      </c>
      <c r="BK21">
        <v>31</v>
      </c>
      <c r="BM21" t="str">
        <v>penempatan</v>
      </c>
      <c r="BN21">
        <v>27</v>
      </c>
      <c r="BP21" t="str">
        <v>kosong</v>
      </c>
      <c r="BQ21">
        <v>27</v>
      </c>
      <c r="BS21" t="str">
        <v>kosong</v>
      </c>
      <c r="BT21">
        <v>10</v>
      </c>
      <c r="BV21" t="str">
        <v>kosong</v>
      </c>
      <c r="BW21">
        <v>23</v>
      </c>
      <c r="BY21" t="str">
        <v>kosong</v>
      </c>
      <c r="BZ21">
        <v>5</v>
      </c>
      <c r="CB21" t="str">
        <v>kosong</v>
      </c>
      <c r="CC21">
        <v>27</v>
      </c>
      <c r="CD21">
        <v>20000</v>
      </c>
      <c r="CF21">
        <v>21</v>
      </c>
      <c r="CG21">
        <v>1500</v>
      </c>
      <c r="CI21">
        <v>18</v>
      </c>
      <c r="CJ21">
        <v>8000</v>
      </c>
      <c r="CL21">
        <v>16</v>
      </c>
      <c r="CM21">
        <v>12000</v>
      </c>
      <c r="CO21">
        <v>20</v>
      </c>
      <c r="CP21">
        <v>27000</v>
      </c>
      <c r="CR21">
        <v>15</v>
      </c>
      <c r="CS21">
        <v>4000</v>
      </c>
      <c r="CU21">
        <v>14</v>
      </c>
      <c r="CV21">
        <v>9500</v>
      </c>
      <c r="CX21">
        <v>10</v>
      </c>
      <c r="CY21">
        <v>3000</v>
      </c>
      <c r="DJ21">
        <v>8</v>
      </c>
      <c r="DL21" t="str">
        <v>pindah</v>
      </c>
      <c r="DM21">
        <v>3</v>
      </c>
      <c r="DN21">
        <v>3000</v>
      </c>
      <c r="DP21">
        <v>3</v>
      </c>
      <c r="DQ21">
        <v>2000</v>
      </c>
      <c r="DS21">
        <v>24</v>
      </c>
      <c r="DT21">
        <v>2000</v>
      </c>
      <c r="DV21">
        <v>28</v>
      </c>
      <c r="DX21" t="str">
        <v>kosong</v>
      </c>
      <c r="EA21" t="str">
        <v>kosong</v>
      </c>
      <c r="ED21" t="str">
        <v>kosong</v>
      </c>
      <c r="EG21" t="str">
        <v>kosong</v>
      </c>
      <c r="EH21">
        <v>15</v>
      </c>
      <c r="EJ21" t="str">
        <v>ditarik</v>
      </c>
    </row>
    <row r="22">
      <c r="A22">
        <v>20</v>
      </c>
      <c r="B22" s="1">
        <v>45169</v>
      </c>
      <c r="C22" t="str">
        <v>0920220224</v>
      </c>
      <c r="D22" t="str">
        <v>Propolis Herbal</v>
      </c>
      <c r="F22" t="str">
        <v xml:space="preserve">JL.Sindang Barang Raya </v>
      </c>
      <c r="G22" t="str">
        <v>Sindang Barang</v>
      </c>
      <c r="H22" t="str">
        <v>Bogor barat</v>
      </c>
      <c r="I22" t="str">
        <v>Bogor Kota</v>
      </c>
      <c r="J22" t="str">
        <v>Jawa barat</v>
      </c>
      <c r="K22">
        <v>81293651425</v>
      </c>
      <c r="L22" t="str">
        <v>Publik</v>
      </c>
      <c r="M22" t="str">
        <v>Agus Tiarman</v>
      </c>
      <c r="N22" t="str">
        <v>non aktif</v>
      </c>
      <c r="BK22">
        <v>31</v>
      </c>
      <c r="BM22" t="str">
        <v>penempatan</v>
      </c>
      <c r="BN22">
        <v>27</v>
      </c>
      <c r="BP22" t="str">
        <v>kosong</v>
      </c>
      <c r="BQ22">
        <v>27</v>
      </c>
      <c r="BS22" t="str">
        <v>kosong</v>
      </c>
      <c r="BT22">
        <v>10</v>
      </c>
      <c r="BV22" t="str">
        <v>kosong</v>
      </c>
      <c r="BW22">
        <v>23</v>
      </c>
      <c r="BY22" t="str">
        <v>kosong</v>
      </c>
      <c r="CB22" t="str">
        <v>tarik</v>
      </c>
    </row>
    <row r="23">
      <c r="A23">
        <v>21</v>
      </c>
      <c r="B23" s="1">
        <v>45169</v>
      </c>
      <c r="C23" t="str">
        <v>0920220225</v>
      </c>
      <c r="D23" t="str">
        <v xml:space="preserve">toko kelontong Rahmat </v>
      </c>
      <c r="F23" t="str">
        <v>Jl. IPB I Sindang Barang</v>
      </c>
      <c r="G23" t="str">
        <v>Sindang Barang</v>
      </c>
      <c r="H23" t="str">
        <v>Bogor barat</v>
      </c>
      <c r="I23" t="str">
        <v xml:space="preserve">Kota Bogor </v>
      </c>
      <c r="J23" t="str">
        <v>Jawa barat</v>
      </c>
      <c r="K23">
        <v>887875854020</v>
      </c>
      <c r="L23" t="str">
        <v xml:space="preserve">Home </v>
      </c>
      <c r="M23" t="str">
        <v>Agus Tiarman</v>
      </c>
      <c r="N23" t="str">
        <v>non aktif</v>
      </c>
      <c r="BK23">
        <v>31</v>
      </c>
      <c r="BM23" t="str">
        <v>penempatan</v>
      </c>
      <c r="BN23">
        <v>27</v>
      </c>
      <c r="BP23" t="str">
        <v>kosong</v>
      </c>
      <c r="BT23">
        <v>2</v>
      </c>
      <c r="BU23">
        <v>6000</v>
      </c>
      <c r="BW23">
        <v>4</v>
      </c>
      <c r="BX23">
        <v>11000</v>
      </c>
      <c r="CF23">
        <v>18</v>
      </c>
      <c r="CH23" t="str">
        <v>kosong</v>
      </c>
      <c r="CN23" t="str">
        <v>kosong</v>
      </c>
      <c r="CQ23" t="str">
        <v>belom ketemu</v>
      </c>
      <c r="CT23" t="str">
        <v>belom ketemu</v>
      </c>
      <c r="CW23" t="str">
        <v>kosong</v>
      </c>
      <c r="DG23">
        <v>11</v>
      </c>
      <c r="DI23" t="str">
        <v>ditarik</v>
      </c>
    </row>
    <row r="24">
      <c r="A24">
        <v>22</v>
      </c>
      <c r="B24" s="1">
        <v>45173</v>
      </c>
      <c r="C24" t="str">
        <v>0920220226</v>
      </c>
      <c r="D24" t="str">
        <v>Angkringan Mas Bowo</v>
      </c>
      <c r="F24" t="str">
        <v xml:space="preserve">JL RE Abdullah ,Pasir Kuda </v>
      </c>
      <c r="G24" t="str">
        <v>Pasir Kuda</v>
      </c>
      <c r="H24" t="str">
        <v>Bogor barat</v>
      </c>
      <c r="I24" t="str">
        <v xml:space="preserve">Kota Bogor </v>
      </c>
      <c r="J24" t="str">
        <v>Jawa barat</v>
      </c>
      <c r="K24">
        <v>81232540684</v>
      </c>
      <c r="L24" t="str">
        <v>Publik</v>
      </c>
      <c r="M24" t="str">
        <v>Agus Tiarman</v>
      </c>
      <c r="N24" t="str">
        <v>aktif</v>
      </c>
      <c r="AJ24">
        <v>6</v>
      </c>
      <c r="AK24">
        <v>4500</v>
      </c>
      <c r="BN24">
        <v>4</v>
      </c>
      <c r="BP24" t="str">
        <v>Penempatan</v>
      </c>
      <c r="BQ24">
        <v>3</v>
      </c>
      <c r="BR24">
        <v>5300</v>
      </c>
      <c r="BW24">
        <v>23</v>
      </c>
      <c r="BY24" t="str">
        <v>kosong</v>
      </c>
      <c r="BZ24">
        <v>3</v>
      </c>
      <c r="CA24">
        <v>8000</v>
      </c>
      <c r="CC24">
        <v>6</v>
      </c>
      <c r="CD24">
        <v>15000</v>
      </c>
      <c r="CF24">
        <v>5</v>
      </c>
      <c r="CG24">
        <v>30000</v>
      </c>
      <c r="CI24">
        <v>5</v>
      </c>
      <c r="CJ24">
        <v>5000</v>
      </c>
      <c r="CN24" t="str">
        <v>kosong</v>
      </c>
      <c r="CQ24" t="str">
        <v>mau tutup</v>
      </c>
      <c r="CT24" t="str">
        <v>dipindahin</v>
      </c>
      <c r="EN24">
        <v>24</v>
      </c>
      <c r="EO24">
        <v>38500</v>
      </c>
    </row>
    <row r="25">
      <c r="A25">
        <v>11</v>
      </c>
      <c r="B25" s="1">
        <v>45173</v>
      </c>
      <c r="C25" t="str">
        <v>0920220227</v>
      </c>
      <c r="D25" t="str">
        <v>Ayam Keprabon</v>
      </c>
      <c r="F25" t="str">
        <v xml:space="preserve">JL RE Abdullah ,Pasir Kuda </v>
      </c>
      <c r="G25" t="str">
        <v>Pasir Kuda</v>
      </c>
      <c r="H25" t="str">
        <v>Bogor barat</v>
      </c>
      <c r="I25" t="str">
        <v xml:space="preserve">Kota Bogor </v>
      </c>
      <c r="J25" t="str">
        <v>Jawa barat</v>
      </c>
      <c r="K25">
        <v>81380809661</v>
      </c>
      <c r="L25" t="str">
        <v>Publik</v>
      </c>
      <c r="M25" t="str">
        <v>Agus Tiarman</v>
      </c>
      <c r="N25" t="str">
        <v>non aktif</v>
      </c>
      <c r="BN25">
        <v>4</v>
      </c>
      <c r="BP25" t="str">
        <v>Penempatan</v>
      </c>
      <c r="BQ25">
        <v>6</v>
      </c>
      <c r="BR25">
        <v>8000</v>
      </c>
      <c r="BW25">
        <v>23</v>
      </c>
      <c r="BY25" t="str">
        <v>kosong</v>
      </c>
      <c r="BZ25">
        <v>3</v>
      </c>
      <c r="CA25">
        <v>2000</v>
      </c>
      <c r="CC25">
        <v>23</v>
      </c>
      <c r="CE25" t="str">
        <v>kosong</v>
      </c>
      <c r="CF25">
        <v>5</v>
      </c>
      <c r="CH25" t="str">
        <v>kosong</v>
      </c>
      <c r="CI25">
        <v>5</v>
      </c>
      <c r="CJ25">
        <v>3000</v>
      </c>
      <c r="CL25">
        <v>6</v>
      </c>
      <c r="CM25">
        <v>6000</v>
      </c>
      <c r="CO25">
        <v>6</v>
      </c>
      <c r="CP25">
        <v>13500</v>
      </c>
      <c r="CR25">
        <v>8</v>
      </c>
      <c r="CS25">
        <v>4000</v>
      </c>
      <c r="CU25">
        <v>6</v>
      </c>
      <c r="CV25">
        <v>2000</v>
      </c>
      <c r="CX25">
        <v>3</v>
      </c>
      <c r="CY25">
        <v>2000</v>
      </c>
      <c r="DG25">
        <v>2</v>
      </c>
      <c r="DH25">
        <v>4000</v>
      </c>
      <c r="DJ25">
        <v>8</v>
      </c>
      <c r="DL25" t="str">
        <v>kosong</v>
      </c>
      <c r="DM25">
        <v>4</v>
      </c>
      <c r="DN25">
        <v>4500</v>
      </c>
      <c r="DP25">
        <v>3</v>
      </c>
      <c r="DR25" t="str">
        <v>kosong</v>
      </c>
      <c r="DU25" t="str">
        <v>kosong</v>
      </c>
      <c r="DV25">
        <v>1</v>
      </c>
      <c r="DW25">
        <v>10000</v>
      </c>
      <c r="DY25">
        <v>3</v>
      </c>
      <c r="EA25" t="str">
        <v>kosong</v>
      </c>
      <c r="EB25">
        <v>1</v>
      </c>
      <c r="ED25" t="str">
        <v>ditarik</v>
      </c>
    </row>
    <row r="26">
      <c r="A26">
        <v>9</v>
      </c>
      <c r="B26" s="1">
        <v>45173</v>
      </c>
      <c r="C26" t="str">
        <v>0920220228</v>
      </c>
      <c r="D26" t="str">
        <v>steak The Azank (deket kayo bersama)/ bakso iga</v>
      </c>
      <c r="F26" t="str">
        <v>JL.Lingkar Laladon Rt 1 Rw 5</v>
      </c>
      <c r="G26" t="str">
        <v>Ciherang</v>
      </c>
      <c r="H26" t="str">
        <v xml:space="preserve">Dramaga </v>
      </c>
      <c r="I26" t="str">
        <v>Kab Bogor</v>
      </c>
      <c r="J26" t="str">
        <v>Jawa barat</v>
      </c>
      <c r="K26">
        <v>81283686106</v>
      </c>
      <c r="L26" t="str">
        <v>Publik</v>
      </c>
      <c r="M26" t="str">
        <v>Agus Tiarman</v>
      </c>
      <c r="N26" t="str">
        <v>aktif</v>
      </c>
      <c r="BN26">
        <v>4</v>
      </c>
      <c r="BP26" t="str">
        <v>Penempatan</v>
      </c>
      <c r="BQ26">
        <v>4</v>
      </c>
      <c r="BS26" t="str">
        <v>kosong</v>
      </c>
      <c r="BT26">
        <v>10</v>
      </c>
      <c r="BV26" t="str">
        <v>kosong</v>
      </c>
      <c r="BW26">
        <v>5</v>
      </c>
      <c r="BX26">
        <v>4000</v>
      </c>
      <c r="BZ26">
        <v>5</v>
      </c>
      <c r="CB26" t="str">
        <v>kosong</v>
      </c>
      <c r="CC26">
        <v>28</v>
      </c>
      <c r="CD26">
        <v>3000</v>
      </c>
      <c r="CF26">
        <v>18</v>
      </c>
      <c r="CH26" t="str">
        <v>kosong</v>
      </c>
      <c r="CN26" t="str">
        <v>kosong</v>
      </c>
      <c r="CO26">
        <v>14</v>
      </c>
      <c r="CP26">
        <v>5000</v>
      </c>
      <c r="CT26" t="str">
        <v>kosong</v>
      </c>
      <c r="CU26">
        <v>15</v>
      </c>
      <c r="CV26">
        <v>3000</v>
      </c>
      <c r="CX26">
        <v>9</v>
      </c>
      <c r="CY26">
        <v>2000</v>
      </c>
      <c r="DC26" t="str">
        <v>kosong</v>
      </c>
      <c r="DG26">
        <v>5</v>
      </c>
      <c r="DH26">
        <v>2000</v>
      </c>
      <c r="DJ26">
        <v>8</v>
      </c>
      <c r="DL26" t="str">
        <v>kosong</v>
      </c>
      <c r="DM26">
        <v>12</v>
      </c>
      <c r="DO26" t="str">
        <v>kosong</v>
      </c>
      <c r="DR26" t="str">
        <v>kosong</v>
      </c>
      <c r="DS26">
        <v>10</v>
      </c>
      <c r="DU26" t="str">
        <v>kosong</v>
      </c>
      <c r="DV26">
        <v>5</v>
      </c>
      <c r="DX26" t="str">
        <v>kosong</v>
      </c>
      <c r="DY26">
        <v>3</v>
      </c>
      <c r="EA26" t="str">
        <v>tutup</v>
      </c>
    </row>
    <row r="27">
      <c r="A27">
        <v>10</v>
      </c>
      <c r="B27" s="1">
        <v>45173</v>
      </c>
      <c r="C27" t="str">
        <v>0920220234</v>
      </c>
      <c r="D27" t="str">
        <v>TB Sahabat Mandiri deket kayo bersama</v>
      </c>
      <c r="F27" t="str">
        <v>JL.Lingkar Laladon</v>
      </c>
      <c r="G27" t="str">
        <v>Ciherang</v>
      </c>
      <c r="H27" t="str">
        <v xml:space="preserve">Dramaga </v>
      </c>
      <c r="I27" t="str">
        <v>Kab Bogor</v>
      </c>
      <c r="J27" t="str">
        <v>Jawa barat</v>
      </c>
      <c r="K27">
        <v>81287047419</v>
      </c>
      <c r="L27" t="str">
        <v>Publik</v>
      </c>
      <c r="M27" t="str">
        <v>Agus Tiarman</v>
      </c>
      <c r="N27" t="str">
        <v>aktif</v>
      </c>
      <c r="BN27">
        <v>4</v>
      </c>
      <c r="BP27" t="str">
        <v>Penempatan</v>
      </c>
      <c r="BQ27">
        <v>4</v>
      </c>
      <c r="BR27">
        <v>7000</v>
      </c>
      <c r="BT27">
        <v>7</v>
      </c>
      <c r="BU27">
        <v>31000</v>
      </c>
      <c r="BW27">
        <v>5</v>
      </c>
      <c r="BX27">
        <v>18000</v>
      </c>
      <c r="BZ27">
        <v>8</v>
      </c>
      <c r="CA27">
        <v>17000</v>
      </c>
      <c r="CC27">
        <v>28</v>
      </c>
      <c r="CD27">
        <v>50000</v>
      </c>
      <c r="CF27">
        <v>19</v>
      </c>
      <c r="CG27">
        <v>68000</v>
      </c>
      <c r="CI27">
        <v>23</v>
      </c>
      <c r="CJ27">
        <v>72000</v>
      </c>
      <c r="CL27">
        <v>24</v>
      </c>
      <c r="CM27">
        <v>64000</v>
      </c>
      <c r="CO27">
        <v>14</v>
      </c>
      <c r="CP27">
        <v>11000</v>
      </c>
      <c r="CR27">
        <v>12</v>
      </c>
      <c r="CS27">
        <v>16000</v>
      </c>
      <c r="CU27">
        <v>13</v>
      </c>
      <c r="CV27">
        <v>16000</v>
      </c>
      <c r="CX27">
        <v>9</v>
      </c>
      <c r="CY27">
        <v>16000</v>
      </c>
      <c r="DA27">
        <v>10</v>
      </c>
      <c r="DB27">
        <v>21000</v>
      </c>
      <c r="DD27">
        <v>12</v>
      </c>
      <c r="DE27">
        <v>15000</v>
      </c>
      <c r="DG27">
        <v>5</v>
      </c>
      <c r="DH27">
        <v>21000</v>
      </c>
      <c r="DJ27">
        <v>8</v>
      </c>
      <c r="DK27">
        <v>13000</v>
      </c>
      <c r="DM27">
        <v>12</v>
      </c>
      <c r="DN27">
        <v>13000</v>
      </c>
      <c r="DP27">
        <v>7</v>
      </c>
      <c r="DQ27">
        <v>14000</v>
      </c>
      <c r="DS27">
        <v>14</v>
      </c>
      <c r="DT27">
        <v>26000</v>
      </c>
      <c r="DV27">
        <v>9</v>
      </c>
      <c r="DW27">
        <v>16000</v>
      </c>
      <c r="DY27">
        <v>12</v>
      </c>
      <c r="DZ27">
        <v>18000</v>
      </c>
      <c r="EB27">
        <v>11</v>
      </c>
      <c r="EC27">
        <v>16000</v>
      </c>
      <c r="EE27">
        <v>8</v>
      </c>
      <c r="EF27">
        <v>12000</v>
      </c>
      <c r="EH27">
        <v>10</v>
      </c>
      <c r="EI27">
        <v>15000</v>
      </c>
      <c r="EK27">
        <v>8</v>
      </c>
      <c r="EL27">
        <v>12000</v>
      </c>
      <c r="EN27">
        <v>7</v>
      </c>
      <c r="EO27">
        <v>12000</v>
      </c>
      <c r="EQ27">
        <v>5</v>
      </c>
      <c r="ER27">
        <v>13000</v>
      </c>
    </row>
    <row r="28">
      <c r="A28">
        <v>12</v>
      </c>
      <c r="B28" s="1">
        <v>45173</v>
      </c>
      <c r="C28" t="str">
        <v>0920220238</v>
      </c>
      <c r="D28" t="str">
        <v>Toko Perhiasan perak Agung</v>
      </c>
      <c r="F28" t="str">
        <v>JL.Mayjen  Ishak Djuarsa / depan pasar gunung batu</v>
      </c>
      <c r="G28" t="str">
        <v>Gunung Batu</v>
      </c>
      <c r="H28" t="str">
        <v>Bogor Barat</v>
      </c>
      <c r="I28" t="str">
        <v xml:space="preserve">Kota Bogor </v>
      </c>
      <c r="J28" t="str">
        <v>Jawa barat</v>
      </c>
      <c r="K28">
        <v>8889136100</v>
      </c>
      <c r="L28" t="str">
        <v>Publik</v>
      </c>
      <c r="M28" t="str">
        <v>Agus Tiarman</v>
      </c>
      <c r="N28" t="str">
        <v>aktif</v>
      </c>
      <c r="BN28">
        <v>4</v>
      </c>
      <c r="BP28" t="str">
        <v>Penempatan</v>
      </c>
      <c r="BQ28">
        <v>3</v>
      </c>
      <c r="BR28">
        <v>10000</v>
      </c>
      <c r="BT28">
        <v>6</v>
      </c>
      <c r="BU28">
        <v>55000</v>
      </c>
      <c r="BW28">
        <v>7</v>
      </c>
      <c r="BX28">
        <v>40000</v>
      </c>
      <c r="BZ28">
        <v>3</v>
      </c>
      <c r="CA28">
        <v>51500</v>
      </c>
      <c r="CC28">
        <v>19</v>
      </c>
      <c r="CD28">
        <v>165000</v>
      </c>
      <c r="CF28">
        <v>21</v>
      </c>
      <c r="CG28">
        <v>95000</v>
      </c>
      <c r="CI28">
        <v>26</v>
      </c>
      <c r="CJ28">
        <v>10000</v>
      </c>
      <c r="CL28">
        <v>24</v>
      </c>
      <c r="CM28">
        <v>25000</v>
      </c>
      <c r="CO28">
        <v>20</v>
      </c>
      <c r="CP28">
        <v>50000</v>
      </c>
      <c r="CR28">
        <v>19</v>
      </c>
      <c r="CS28">
        <v>95000</v>
      </c>
      <c r="CU28">
        <v>19</v>
      </c>
      <c r="CV28">
        <v>35000</v>
      </c>
      <c r="CX28">
        <v>23</v>
      </c>
      <c r="CY28">
        <v>30000</v>
      </c>
      <c r="DA28">
        <v>23</v>
      </c>
      <c r="DB28">
        <v>30000</v>
      </c>
      <c r="DD28">
        <v>22</v>
      </c>
      <c r="DE28">
        <v>40000</v>
      </c>
      <c r="DG28">
        <v>23</v>
      </c>
      <c r="DH28">
        <v>15000</v>
      </c>
      <c r="DJ28">
        <v>20</v>
      </c>
      <c r="DK28">
        <v>50000</v>
      </c>
      <c r="DM28">
        <v>19</v>
      </c>
      <c r="DN28">
        <v>85000</v>
      </c>
      <c r="DP28">
        <v>17</v>
      </c>
      <c r="DQ28">
        <v>35000</v>
      </c>
      <c r="DS28">
        <v>17</v>
      </c>
      <c r="DT28">
        <v>65000</v>
      </c>
      <c r="DV28">
        <v>19</v>
      </c>
      <c r="DW28">
        <v>55000</v>
      </c>
      <c r="DY28">
        <v>17</v>
      </c>
      <c r="DZ28">
        <v>69000</v>
      </c>
      <c r="EB28">
        <v>15</v>
      </c>
      <c r="EC28">
        <v>20000</v>
      </c>
      <c r="EE28">
        <v>14</v>
      </c>
      <c r="EF28">
        <v>60000</v>
      </c>
      <c r="EH28">
        <v>15</v>
      </c>
      <c r="EI28">
        <v>71000</v>
      </c>
      <c r="EK28">
        <v>14</v>
      </c>
      <c r="EL28">
        <v>80000</v>
      </c>
      <c r="EN28">
        <v>12</v>
      </c>
      <c r="EO28">
        <v>85000</v>
      </c>
    </row>
    <row r="29">
      <c r="A29">
        <v>42</v>
      </c>
      <c r="B29" s="1">
        <v>45174</v>
      </c>
      <c r="C29" t="str">
        <v>0920220246</v>
      </c>
      <c r="D29" t="str">
        <v>Terang Elektrik/ warteg purnama sari</v>
      </c>
      <c r="F29" t="str">
        <v>JL.Laladon depan bursa ikan hias</v>
      </c>
      <c r="G29" t="str">
        <v>laladon</v>
      </c>
      <c r="H29" t="str">
        <v>ciomas</v>
      </c>
      <c r="I29" t="str">
        <v>Kab Bogor</v>
      </c>
      <c r="J29" t="str">
        <v>Jawa barat</v>
      </c>
      <c r="L29" t="str">
        <v>Publik</v>
      </c>
      <c r="M29" t="str">
        <v>Agus Tiarman</v>
      </c>
      <c r="N29" t="str">
        <v>aktif</v>
      </c>
      <c r="BN29">
        <v>5</v>
      </c>
      <c r="BP29" t="str">
        <v>Penempatan</v>
      </c>
      <c r="BQ29">
        <v>27</v>
      </c>
      <c r="BS29" t="str">
        <v>kosong</v>
      </c>
      <c r="BT29">
        <v>10</v>
      </c>
      <c r="BV29" t="str">
        <v>kosong</v>
      </c>
      <c r="BW29">
        <v>23</v>
      </c>
      <c r="BY29" t="str">
        <v>kosong</v>
      </c>
      <c r="BZ29">
        <v>8</v>
      </c>
      <c r="CB29" t="str">
        <v>kosong</v>
      </c>
      <c r="DY29">
        <v>25</v>
      </c>
      <c r="EA29" t="str">
        <v>penempatan</v>
      </c>
      <c r="EB29">
        <v>18</v>
      </c>
      <c r="EC29">
        <v>10000</v>
      </c>
      <c r="EE29">
        <v>15</v>
      </c>
      <c r="EF29">
        <v>36000</v>
      </c>
      <c r="EH29">
        <v>2</v>
      </c>
      <c r="EI29">
        <v>38000</v>
      </c>
      <c r="EK29">
        <v>9</v>
      </c>
      <c r="EL29">
        <v>46000</v>
      </c>
      <c r="EN29">
        <v>10</v>
      </c>
      <c r="EO29">
        <v>46000</v>
      </c>
      <c r="EQ29">
        <v>9</v>
      </c>
      <c r="ER29">
        <v>44000</v>
      </c>
    </row>
    <row r="30">
      <c r="A30">
        <v>15</v>
      </c>
      <c r="B30" s="1">
        <v>45174</v>
      </c>
      <c r="C30" t="str">
        <v>0920220255</v>
      </c>
      <c r="D30" t="str">
        <v xml:space="preserve">TB.Joring Jaya </v>
      </c>
      <c r="F30" t="str">
        <v>JL.Lingkar Dramaga,Ciherang</v>
      </c>
      <c r="G30" t="str">
        <v>Ciherang</v>
      </c>
      <c r="H30" t="str">
        <v xml:space="preserve">Dramaga </v>
      </c>
      <c r="I30" t="str">
        <v>Kab Bogor</v>
      </c>
      <c r="J30" t="str">
        <v>Jawa barat</v>
      </c>
      <c r="L30" t="str">
        <v>Publik</v>
      </c>
      <c r="M30" t="str">
        <v>Agus Tiarman</v>
      </c>
      <c r="N30" t="str">
        <v>aktif</v>
      </c>
      <c r="BN30">
        <v>5</v>
      </c>
      <c r="BP30" t="str">
        <v>Penempatan</v>
      </c>
      <c r="BQ30">
        <v>5</v>
      </c>
      <c r="BR30">
        <v>68000</v>
      </c>
      <c r="BT30">
        <v>8</v>
      </c>
      <c r="BU30">
        <v>63500</v>
      </c>
      <c r="BW30">
        <v>5</v>
      </c>
      <c r="BX30">
        <v>52000</v>
      </c>
      <c r="BZ30">
        <v>8</v>
      </c>
      <c r="CA30">
        <v>62000</v>
      </c>
      <c r="CC30">
        <v>23</v>
      </c>
      <c r="CD30">
        <v>89000</v>
      </c>
      <c r="CF30">
        <v>25</v>
      </c>
      <c r="CG30">
        <v>54000</v>
      </c>
      <c r="CI30">
        <v>22</v>
      </c>
      <c r="CJ30">
        <v>48000</v>
      </c>
      <c r="CL30">
        <v>23</v>
      </c>
      <c r="CM30">
        <v>44000</v>
      </c>
      <c r="CO30">
        <v>24</v>
      </c>
      <c r="CP30">
        <v>44000</v>
      </c>
      <c r="CR30">
        <v>17</v>
      </c>
      <c r="CS30">
        <v>31000</v>
      </c>
      <c r="CU30">
        <v>15</v>
      </c>
      <c r="CV30">
        <v>55000</v>
      </c>
      <c r="CX30">
        <v>18</v>
      </c>
      <c r="CY30">
        <v>62000</v>
      </c>
      <c r="DA30">
        <v>18</v>
      </c>
      <c r="DB30">
        <v>38000</v>
      </c>
      <c r="DD30">
        <v>15</v>
      </c>
      <c r="DE30">
        <v>45000</v>
      </c>
      <c r="DG30">
        <v>13</v>
      </c>
      <c r="DH30">
        <v>33500</v>
      </c>
      <c r="DJ30">
        <v>13</v>
      </c>
      <c r="DK30">
        <v>30000</v>
      </c>
      <c r="DM30">
        <v>12</v>
      </c>
      <c r="DN30">
        <v>4000</v>
      </c>
      <c r="DP30">
        <v>14</v>
      </c>
      <c r="DQ30">
        <v>42500</v>
      </c>
      <c r="DS30">
        <v>14</v>
      </c>
      <c r="DT30">
        <v>33000</v>
      </c>
      <c r="DV30">
        <v>15</v>
      </c>
      <c r="DW30">
        <v>77000</v>
      </c>
      <c r="DY30">
        <v>11</v>
      </c>
      <c r="DZ30">
        <v>79000</v>
      </c>
      <c r="EB30">
        <v>10</v>
      </c>
      <c r="EC30">
        <v>35500</v>
      </c>
      <c r="EE30">
        <v>12</v>
      </c>
      <c r="EF30">
        <v>76000</v>
      </c>
      <c r="EH30">
        <v>11</v>
      </c>
      <c r="EI30">
        <v>44000</v>
      </c>
      <c r="EK30">
        <v>10</v>
      </c>
      <c r="EL30">
        <v>23500</v>
      </c>
      <c r="EN30">
        <v>11</v>
      </c>
      <c r="EO30">
        <v>59000</v>
      </c>
    </row>
    <row r="31">
      <c r="A31">
        <v>16</v>
      </c>
      <c r="B31" s="1">
        <v>45174</v>
      </c>
      <c r="C31" t="str">
        <v>0920220256</v>
      </c>
      <c r="D31" t="str">
        <v>Galeri bangunan</v>
      </c>
      <c r="F31" t="str">
        <v>JL.Lingkar Dramaga,Ciherang</v>
      </c>
      <c r="G31" t="str">
        <v>Ciherang</v>
      </c>
      <c r="H31" t="str">
        <v xml:space="preserve">Dramaga </v>
      </c>
      <c r="I31" t="str">
        <v>Kab Bogor</v>
      </c>
      <c r="J31" t="str">
        <v>Jawa barat</v>
      </c>
      <c r="K31">
        <v>895380458513</v>
      </c>
      <c r="L31" t="str">
        <v>Publik</v>
      </c>
      <c r="M31" t="str">
        <v>Agus Tiarman</v>
      </c>
      <c r="N31" t="str">
        <v>aktif</v>
      </c>
      <c r="BN31">
        <v>5</v>
      </c>
      <c r="BP31" t="str">
        <v>Penempatan</v>
      </c>
      <c r="BQ31">
        <v>5</v>
      </c>
      <c r="BR31">
        <v>9000</v>
      </c>
      <c r="BT31">
        <v>8</v>
      </c>
      <c r="BU31">
        <v>10000</v>
      </c>
      <c r="BW31">
        <v>5</v>
      </c>
      <c r="BX31">
        <v>11000</v>
      </c>
      <c r="BZ31">
        <v>8</v>
      </c>
      <c r="CA31">
        <v>13000</v>
      </c>
      <c r="CC31">
        <v>23</v>
      </c>
      <c r="CD31">
        <v>22000</v>
      </c>
      <c r="CF31">
        <v>25</v>
      </c>
      <c r="CG31">
        <v>11000</v>
      </c>
      <c r="CI31">
        <v>22</v>
      </c>
      <c r="CJ31">
        <v>12000</v>
      </c>
      <c r="CL31">
        <v>23</v>
      </c>
      <c r="CM31">
        <v>12000</v>
      </c>
      <c r="CO31">
        <v>24</v>
      </c>
      <c r="CP31">
        <v>40500</v>
      </c>
      <c r="CR31">
        <v>22</v>
      </c>
      <c r="CS31">
        <v>42000</v>
      </c>
      <c r="CU31">
        <v>21</v>
      </c>
      <c r="CV31">
        <v>40500</v>
      </c>
      <c r="CX31">
        <v>20</v>
      </c>
      <c r="CY31">
        <v>42000</v>
      </c>
      <c r="DA31">
        <v>22</v>
      </c>
      <c r="DB31">
        <v>25000</v>
      </c>
      <c r="DD31">
        <v>15</v>
      </c>
      <c r="DE31">
        <v>32000</v>
      </c>
      <c r="DG31">
        <v>13</v>
      </c>
      <c r="DH31">
        <v>62000</v>
      </c>
      <c r="DJ31">
        <v>13</v>
      </c>
      <c r="DK31">
        <v>40000</v>
      </c>
      <c r="DM31">
        <v>12</v>
      </c>
      <c r="DN31">
        <v>30000</v>
      </c>
      <c r="DP31">
        <v>14</v>
      </c>
      <c r="DQ31">
        <v>36000</v>
      </c>
      <c r="DS31">
        <v>14</v>
      </c>
      <c r="DT31">
        <v>77000</v>
      </c>
      <c r="DV31">
        <v>15</v>
      </c>
      <c r="DW31">
        <v>52000</v>
      </c>
      <c r="DY31">
        <v>11</v>
      </c>
      <c r="DZ31">
        <v>45500</v>
      </c>
      <c r="EB31">
        <v>11</v>
      </c>
      <c r="EC31">
        <v>38000</v>
      </c>
      <c r="EE31">
        <v>12</v>
      </c>
      <c r="EF31">
        <v>37000</v>
      </c>
      <c r="EH31">
        <v>11</v>
      </c>
      <c r="EI31">
        <v>70000</v>
      </c>
      <c r="EK31">
        <v>10</v>
      </c>
      <c r="EL31">
        <v>27000</v>
      </c>
      <c r="EN31">
        <v>11</v>
      </c>
      <c r="EO31">
        <v>72000</v>
      </c>
    </row>
    <row r="32">
      <c r="A32">
        <v>24</v>
      </c>
      <c r="B32" s="1">
        <v>3</v>
      </c>
      <c r="C32" t="str">
        <v>0920220257</v>
      </c>
      <c r="D32" t="str">
        <v>Ibu Ana Kayo Bersama TB</v>
      </c>
      <c r="F32" t="str">
        <v>JL.Lingkar Dramaga,Ciherang</v>
      </c>
      <c r="G32" t="str">
        <v>Ciherang</v>
      </c>
      <c r="H32" t="str">
        <v xml:space="preserve">Dramaga </v>
      </c>
      <c r="I32" t="str">
        <v>Kab Bogor</v>
      </c>
      <c r="J32" t="str">
        <v>Jawa barat</v>
      </c>
      <c r="K32">
        <v>87770059649</v>
      </c>
      <c r="L32" t="str">
        <v>Publik</v>
      </c>
      <c r="M32" t="str">
        <v>Agus Tiarman</v>
      </c>
      <c r="N32" t="str">
        <v>aktif</v>
      </c>
      <c r="BN32">
        <v>6</v>
      </c>
      <c r="BP32" t="str">
        <v>Penempatan</v>
      </c>
      <c r="BQ32">
        <v>5</v>
      </c>
      <c r="BR32">
        <v>8000</v>
      </c>
      <c r="BT32">
        <v>7</v>
      </c>
      <c r="BU32">
        <v>110000</v>
      </c>
      <c r="BW32">
        <v>6</v>
      </c>
      <c r="BX32">
        <v>45000</v>
      </c>
      <c r="BZ32">
        <v>8</v>
      </c>
      <c r="CA32">
        <v>150000</v>
      </c>
      <c r="CC32">
        <v>23</v>
      </c>
      <c r="CD32">
        <v>210000</v>
      </c>
      <c r="CF32">
        <v>25</v>
      </c>
      <c r="CG32">
        <v>115000</v>
      </c>
      <c r="CI32">
        <v>23</v>
      </c>
      <c r="CJ32">
        <v>50000</v>
      </c>
      <c r="CL32">
        <v>27</v>
      </c>
      <c r="CM32">
        <v>185000</v>
      </c>
      <c r="CO32">
        <v>25</v>
      </c>
      <c r="CP32">
        <v>120000</v>
      </c>
      <c r="CR32">
        <v>22</v>
      </c>
      <c r="CS32">
        <v>100000</v>
      </c>
      <c r="CU32">
        <v>15</v>
      </c>
      <c r="CV32">
        <v>230000</v>
      </c>
      <c r="CX32">
        <v>19</v>
      </c>
      <c r="CY32">
        <v>100000</v>
      </c>
      <c r="DD32">
        <v>1</v>
      </c>
      <c r="DE32">
        <v>165000</v>
      </c>
      <c r="DR32" t="str">
        <v>kosong</v>
      </c>
      <c r="DS32">
        <v>8</v>
      </c>
      <c r="DU32" t="str">
        <v>kosong</v>
      </c>
      <c r="DV32">
        <v>27</v>
      </c>
      <c r="DX32" t="str">
        <v>ditarik</v>
      </c>
      <c r="EE32">
        <v>7</v>
      </c>
      <c r="EF32">
        <v>110000</v>
      </c>
      <c r="EG32" t="str">
        <v>ditarik</v>
      </c>
      <c r="EK32">
        <v>8</v>
      </c>
      <c r="EL32">
        <v>70000</v>
      </c>
      <c r="EM32" t="str">
        <v>penempatan</v>
      </c>
      <c r="EN32">
        <v>7</v>
      </c>
      <c r="EO32">
        <v>20000</v>
      </c>
      <c r="EQ32" t="str">
        <v>4,8,9</v>
      </c>
      <c r="ES32" t="str">
        <v>kosong</v>
      </c>
    </row>
    <row r="33">
      <c r="A33">
        <v>17</v>
      </c>
      <c r="B33" s="1">
        <v>45175</v>
      </c>
      <c r="C33" t="str">
        <v>0920220259</v>
      </c>
      <c r="D33" t="str">
        <v>B Wash</v>
      </c>
      <c r="F33" t="str">
        <v>JL.Lingkar Dramaga,Ciherang</v>
      </c>
      <c r="G33" t="str">
        <v>Ciherang</v>
      </c>
      <c r="H33" t="str">
        <v xml:space="preserve">Dramaga </v>
      </c>
      <c r="I33" t="str">
        <v>Kab Bogor</v>
      </c>
      <c r="J33" t="str">
        <v>Jawa barat</v>
      </c>
      <c r="K33">
        <v>82123111295</v>
      </c>
      <c r="L33" t="str">
        <v>Publik</v>
      </c>
      <c r="M33" t="str">
        <v>Agus Tiarman</v>
      </c>
      <c r="N33" t="str">
        <v>aktif</v>
      </c>
      <c r="BN33">
        <v>6</v>
      </c>
      <c r="BP33" t="str">
        <v>Penempatan</v>
      </c>
      <c r="BQ33">
        <v>5</v>
      </c>
      <c r="BR33">
        <v>7200</v>
      </c>
      <c r="BT33">
        <v>8</v>
      </c>
      <c r="BU33">
        <v>58000</v>
      </c>
      <c r="BW33">
        <v>6</v>
      </c>
      <c r="BX33">
        <v>10000</v>
      </c>
      <c r="BZ33">
        <v>8</v>
      </c>
      <c r="CA33">
        <v>7400</v>
      </c>
      <c r="CC33">
        <v>7</v>
      </c>
      <c r="CD33">
        <v>11500</v>
      </c>
      <c r="CF33">
        <v>8</v>
      </c>
      <c r="CG33">
        <v>13000</v>
      </c>
      <c r="CI33">
        <v>22</v>
      </c>
      <c r="CJ33">
        <v>13000</v>
      </c>
      <c r="CL33">
        <v>23</v>
      </c>
      <c r="CM33">
        <v>7000</v>
      </c>
      <c r="CO33">
        <v>24</v>
      </c>
      <c r="CP33">
        <v>3500</v>
      </c>
      <c r="CR33">
        <v>11</v>
      </c>
      <c r="CS33">
        <v>5000</v>
      </c>
      <c r="CU33">
        <v>12</v>
      </c>
      <c r="CV33">
        <v>12500</v>
      </c>
      <c r="CX33">
        <v>12</v>
      </c>
      <c r="CY33">
        <v>9000</v>
      </c>
      <c r="DA33">
        <v>15</v>
      </c>
      <c r="DB33">
        <v>3000</v>
      </c>
      <c r="DG33">
        <v>6</v>
      </c>
      <c r="DH33">
        <v>5500</v>
      </c>
      <c r="DJ33">
        <v>7</v>
      </c>
      <c r="DK33">
        <v>2000</v>
      </c>
      <c r="DM33">
        <v>7</v>
      </c>
      <c r="DN33">
        <v>3000</v>
      </c>
      <c r="DP33">
        <v>5</v>
      </c>
      <c r="DR33" t="str">
        <v>kosong</v>
      </c>
      <c r="DS33">
        <v>10</v>
      </c>
      <c r="DU33" t="str">
        <v>kosong</v>
      </c>
      <c r="DV33">
        <v>5</v>
      </c>
      <c r="DW33">
        <v>11000</v>
      </c>
      <c r="DY33">
        <v>3</v>
      </c>
      <c r="DZ33">
        <v>7000</v>
      </c>
      <c r="EB33">
        <v>3</v>
      </c>
      <c r="EC33">
        <v>5500</v>
      </c>
      <c r="EE33">
        <v>6</v>
      </c>
      <c r="EF33">
        <v>10000</v>
      </c>
      <c r="EH33">
        <v>3</v>
      </c>
      <c r="EI33">
        <v>5000</v>
      </c>
      <c r="EK33">
        <v>2</v>
      </c>
      <c r="EL33">
        <v>15000</v>
      </c>
      <c r="EN33">
        <v>5</v>
      </c>
      <c r="EO33">
        <v>5000</v>
      </c>
      <c r="EQ33">
        <v>3</v>
      </c>
      <c r="ER33">
        <v>10000</v>
      </c>
    </row>
    <row r="34">
      <c r="A34">
        <v>18</v>
      </c>
      <c r="B34" s="1">
        <v>45175</v>
      </c>
      <c r="C34" t="str">
        <v>0920220267</v>
      </c>
      <c r="D34" t="str">
        <v>Sop iga F&amp;F/ bakso iga nawasena</v>
      </c>
      <c r="F34" t="str">
        <v>JL.Dramaga Tanjakan (depan bengkel motor)/ jln lingkar laladon</v>
      </c>
      <c r="G34" t="str">
        <v>Dramaga</v>
      </c>
      <c r="H34" t="str">
        <v xml:space="preserve">Dramaga </v>
      </c>
      <c r="I34" t="str">
        <v>Kab Bogor</v>
      </c>
      <c r="J34" t="str">
        <v>Jawa barat</v>
      </c>
      <c r="K34">
        <v>89517058760</v>
      </c>
      <c r="L34" t="str">
        <v>Publik</v>
      </c>
      <c r="M34" t="str">
        <v>Agus Tiarman</v>
      </c>
      <c r="N34" t="str">
        <v>aktif</v>
      </c>
      <c r="BN34">
        <v>6</v>
      </c>
      <c r="BP34" t="str">
        <v>Penempatan</v>
      </c>
      <c r="BT34">
        <v>8</v>
      </c>
      <c r="BU34">
        <v>100000</v>
      </c>
      <c r="BW34">
        <v>7</v>
      </c>
      <c r="BX34">
        <v>75000</v>
      </c>
      <c r="BZ34">
        <v>5</v>
      </c>
      <c r="CB34" t="str">
        <v>kosong</v>
      </c>
      <c r="CC34">
        <v>28</v>
      </c>
      <c r="CD34">
        <v>52000</v>
      </c>
      <c r="CL34">
        <v>23</v>
      </c>
      <c r="CM34">
        <v>14000</v>
      </c>
      <c r="CO34">
        <v>24</v>
      </c>
      <c r="CP34">
        <v>11000</v>
      </c>
      <c r="CR34">
        <v>19</v>
      </c>
      <c r="CS34">
        <v>11000</v>
      </c>
      <c r="CU34">
        <v>21</v>
      </c>
      <c r="CV34">
        <v>21000</v>
      </c>
      <c r="DA34">
        <v>21</v>
      </c>
      <c r="DB34">
        <v>16000</v>
      </c>
      <c r="DD34">
        <v>22</v>
      </c>
      <c r="DE34">
        <v>13000</v>
      </c>
      <c r="DG34">
        <v>12</v>
      </c>
      <c r="DH34">
        <v>9000</v>
      </c>
      <c r="DJ34">
        <v>15</v>
      </c>
      <c r="DK34">
        <v>10000</v>
      </c>
      <c r="DM34">
        <v>12</v>
      </c>
      <c r="DN34">
        <v>8000</v>
      </c>
      <c r="DP34">
        <v>21</v>
      </c>
      <c r="DQ34">
        <v>9000</v>
      </c>
      <c r="DU34" t="str">
        <v>kosong</v>
      </c>
      <c r="DV34">
        <v>15</v>
      </c>
      <c r="DX34" t="str">
        <v>kosong</v>
      </c>
      <c r="DY34">
        <v>10</v>
      </c>
      <c r="EA34" t="str">
        <v>kosong</v>
      </c>
      <c r="EB34">
        <v>8</v>
      </c>
      <c r="ED34" t="str">
        <v>tutup</v>
      </c>
      <c r="EH34">
        <v>27</v>
      </c>
      <c r="EI34">
        <v>16000</v>
      </c>
      <c r="EK34">
        <v>30</v>
      </c>
      <c r="EM34" t="str">
        <v>kosong</v>
      </c>
      <c r="EP34" t="str">
        <v>ditarik</v>
      </c>
      <c r="EQ34">
        <v>3</v>
      </c>
      <c r="ER34">
        <v>4000</v>
      </c>
      <c r="ES34" t="str">
        <v>penempatan</v>
      </c>
    </row>
    <row r="35">
      <c r="A35">
        <v>65</v>
      </c>
      <c r="B35" s="1">
        <v>45175</v>
      </c>
      <c r="C35" t="str">
        <v>0920220268</v>
      </c>
      <c r="D35" t="str">
        <v xml:space="preserve">Sentral belanja </v>
      </c>
      <c r="F35" t="str">
        <v xml:space="preserve">Jl.Pasar Dramaga </v>
      </c>
      <c r="G35" t="str">
        <v>Dramaga</v>
      </c>
      <c r="H35" t="str">
        <v xml:space="preserve">Dramaga </v>
      </c>
      <c r="I35" t="str">
        <v>Kab Bogor</v>
      </c>
      <c r="J35" t="str">
        <v>Jawa barat</v>
      </c>
      <c r="K35">
        <v>89690771717</v>
      </c>
      <c r="L35" t="str">
        <v>Publik</v>
      </c>
      <c r="M35" t="str">
        <v>Agus Tiarman</v>
      </c>
      <c r="N35" t="str">
        <v>non aktif</v>
      </c>
      <c r="BN35">
        <v>6</v>
      </c>
      <c r="BP35" t="str">
        <v>Penempatan</v>
      </c>
      <c r="BQ35">
        <v>6</v>
      </c>
      <c r="BS35" t="str">
        <v>kosong</v>
      </c>
      <c r="BT35">
        <v>10</v>
      </c>
      <c r="BV35" t="str">
        <v>kosong</v>
      </c>
      <c r="BW35">
        <v>23</v>
      </c>
      <c r="BY35" t="str">
        <v>kosong</v>
      </c>
      <c r="BZ35">
        <v>9</v>
      </c>
      <c r="CA35">
        <v>2500</v>
      </c>
      <c r="CC35">
        <v>26</v>
      </c>
      <c r="CD35">
        <v>2000</v>
      </c>
      <c r="CF35">
        <v>18</v>
      </c>
      <c r="CH35" t="str">
        <v>kosong</v>
      </c>
      <c r="CN35" t="str">
        <v>ditarik</v>
      </c>
    </row>
    <row r="36">
      <c r="A36">
        <v>28</v>
      </c>
      <c r="B36" s="1">
        <v>45175</v>
      </c>
      <c r="C36" t="str">
        <v>0920220269</v>
      </c>
      <c r="D36" t="str">
        <v>Toko Parfum sarah</v>
      </c>
      <c r="F36" t="str">
        <v xml:space="preserve">Jl.Pasar Dramaga </v>
      </c>
      <c r="G36" t="str">
        <v>Dramaga</v>
      </c>
      <c r="H36" t="str">
        <v xml:space="preserve">Dramaga </v>
      </c>
      <c r="I36" t="str">
        <v>Kab Bogor</v>
      </c>
      <c r="J36" t="str">
        <v>Jawa barat</v>
      </c>
      <c r="L36" t="str">
        <v>Publik</v>
      </c>
      <c r="M36" t="str">
        <v>Agus Tiarman</v>
      </c>
      <c r="N36" t="str">
        <v>non aktif</v>
      </c>
      <c r="BN36">
        <v>6</v>
      </c>
      <c r="BP36" t="str">
        <v>Penempatan</v>
      </c>
      <c r="BQ36">
        <v>9</v>
      </c>
      <c r="BR36">
        <v>10000</v>
      </c>
      <c r="BT36">
        <v>9</v>
      </c>
      <c r="BU36">
        <v>10000</v>
      </c>
      <c r="BW36">
        <v>7</v>
      </c>
      <c r="BX36">
        <v>5000</v>
      </c>
      <c r="BZ36">
        <v>9</v>
      </c>
      <c r="CB36" t="str">
        <v>kosong</v>
      </c>
      <c r="CC36">
        <v>26</v>
      </c>
      <c r="CD36">
        <v>6000</v>
      </c>
      <c r="CF36">
        <v>18</v>
      </c>
      <c r="CH36" t="str">
        <v>kosong</v>
      </c>
      <c r="CL36">
        <v>23</v>
      </c>
      <c r="CM36">
        <v>5000</v>
      </c>
      <c r="CO36">
        <v>24</v>
      </c>
      <c r="CP36">
        <v>3000</v>
      </c>
      <c r="CR36">
        <v>15</v>
      </c>
      <c r="CS36">
        <v>3000</v>
      </c>
      <c r="CU36">
        <v>12</v>
      </c>
      <c r="CV36">
        <v>3000</v>
      </c>
      <c r="DC36" t="str">
        <v>kosong</v>
      </c>
      <c r="DG36">
        <v>12</v>
      </c>
      <c r="DH36">
        <v>6000</v>
      </c>
      <c r="DJ36">
        <v>8</v>
      </c>
      <c r="DL36" t="str">
        <v>pindah</v>
      </c>
      <c r="DP36">
        <v>7</v>
      </c>
      <c r="DR36" t="str">
        <v>kosong</v>
      </c>
      <c r="DS36">
        <v>11</v>
      </c>
      <c r="DT36">
        <v>5000</v>
      </c>
      <c r="DV36">
        <v>8</v>
      </c>
      <c r="DX36" t="str">
        <v>kosong</v>
      </c>
      <c r="DY36">
        <v>10</v>
      </c>
      <c r="EA36" t="str">
        <v>kosong</v>
      </c>
      <c r="EB36">
        <v>8</v>
      </c>
      <c r="ED36" t="str">
        <v>ditarik</v>
      </c>
    </row>
    <row r="37">
      <c r="A37">
        <v>67</v>
      </c>
      <c r="B37" s="1">
        <v>45175</v>
      </c>
      <c r="C37" t="str">
        <v>0920220270</v>
      </c>
      <c r="D37" t="str">
        <v xml:space="preserve">Ibu Fitri  Ayam Kremes </v>
      </c>
      <c r="F37" t="str">
        <v xml:space="preserve">Jl.Lingkar dramaga </v>
      </c>
      <c r="G37" t="str">
        <v>Ciherang</v>
      </c>
      <c r="H37" t="str">
        <v xml:space="preserve">Dramaga </v>
      </c>
      <c r="I37" t="str">
        <v>Kab Bogor</v>
      </c>
      <c r="J37" t="str">
        <v>Jawa barat</v>
      </c>
      <c r="K37">
        <v>85774154053</v>
      </c>
      <c r="L37" t="str">
        <v>Publik</v>
      </c>
      <c r="M37" t="str">
        <v>Agus Tiarman</v>
      </c>
      <c r="N37" t="str">
        <v>non aktif</v>
      </c>
      <c r="BN37">
        <v>6</v>
      </c>
      <c r="BP37" t="str">
        <v>Penempatan</v>
      </c>
      <c r="BQ37">
        <v>10</v>
      </c>
      <c r="BS37" t="str">
        <v>kosong</v>
      </c>
      <c r="BW37">
        <v>23</v>
      </c>
      <c r="BY37" t="str">
        <v>kosong</v>
      </c>
      <c r="BZ37">
        <v>5</v>
      </c>
      <c r="CB37" t="str">
        <v>kosong</v>
      </c>
    </row>
    <row r="38">
      <c r="A38">
        <v>19</v>
      </c>
      <c r="B38" s="1">
        <v>45175</v>
      </c>
      <c r="C38" t="str">
        <v>0920220271</v>
      </c>
      <c r="D38" t="str">
        <v>Anwar plastik / RM Bundo Kito</v>
      </c>
      <c r="F38" t="str">
        <v>JL.p4an Dramaga</v>
      </c>
      <c r="G38" t="str">
        <v>Dramaga</v>
      </c>
      <c r="H38" t="str">
        <v>Dramaga</v>
      </c>
      <c r="I38" t="str">
        <v>Kab Bogor</v>
      </c>
      <c r="J38" t="str">
        <v>Jawa barat</v>
      </c>
      <c r="K38" t="str">
        <v>0838 33644096</v>
      </c>
      <c r="L38" t="str">
        <v>Publik</v>
      </c>
      <c r="M38" t="str">
        <v>Agus Tiarman</v>
      </c>
      <c r="N38" t="str">
        <v>aktif</v>
      </c>
      <c r="BN38">
        <v>6</v>
      </c>
      <c r="BP38" t="str">
        <v>Penempatan</v>
      </c>
      <c r="BQ38">
        <v>6</v>
      </c>
      <c r="BR38">
        <v>22500</v>
      </c>
      <c r="BT38">
        <v>10</v>
      </c>
      <c r="BV38" t="str">
        <v>kosong</v>
      </c>
      <c r="BW38">
        <v>23</v>
      </c>
      <c r="BY38" t="str">
        <v>kosong</v>
      </c>
      <c r="BZ38">
        <v>9</v>
      </c>
      <c r="CA38">
        <v>3500</v>
      </c>
      <c r="CC38">
        <v>23</v>
      </c>
      <c r="CE38" t="str">
        <v>kosong</v>
      </c>
      <c r="CF38">
        <v>7</v>
      </c>
      <c r="CG38">
        <v>1000</v>
      </c>
      <c r="CI38">
        <v>2</v>
      </c>
      <c r="CJ38">
        <v>14000</v>
      </c>
      <c r="CL38">
        <v>3</v>
      </c>
      <c r="CM38">
        <v>1000</v>
      </c>
      <c r="CQ38" t="str">
        <v>kosong</v>
      </c>
      <c r="CR38">
        <v>3</v>
      </c>
      <c r="CS38">
        <v>7500</v>
      </c>
      <c r="CU38">
        <v>2</v>
      </c>
      <c r="CV38">
        <v>20000</v>
      </c>
      <c r="CX38">
        <v>2</v>
      </c>
      <c r="CY38">
        <v>1000</v>
      </c>
      <c r="DC38" t="str">
        <v>kosong</v>
      </c>
      <c r="DD38">
        <v>7</v>
      </c>
      <c r="DE38">
        <v>9000</v>
      </c>
      <c r="DG38">
        <v>4</v>
      </c>
      <c r="DH38">
        <v>5000</v>
      </c>
      <c r="DJ38">
        <v>7</v>
      </c>
      <c r="DK38">
        <v>1500</v>
      </c>
      <c r="DM38">
        <v>17</v>
      </c>
      <c r="DN38">
        <v>8500</v>
      </c>
      <c r="DP38">
        <v>19</v>
      </c>
      <c r="DQ38">
        <v>3500</v>
      </c>
      <c r="DR38" t="str">
        <v>kosong</v>
      </c>
      <c r="DS38">
        <v>22</v>
      </c>
      <c r="DT38">
        <v>3000</v>
      </c>
      <c r="DV38">
        <v>8</v>
      </c>
      <c r="DW38">
        <v>4000</v>
      </c>
      <c r="DY38">
        <v>10</v>
      </c>
      <c r="EA38" t="str">
        <v>kosong</v>
      </c>
      <c r="EB38">
        <v>8</v>
      </c>
      <c r="ED38" t="str">
        <v>tutup</v>
      </c>
      <c r="EE38">
        <v>13</v>
      </c>
      <c r="EF38">
        <v>7000</v>
      </c>
      <c r="EJ38" t="str">
        <v>kosong</v>
      </c>
      <c r="EK38">
        <v>6</v>
      </c>
      <c r="EL38">
        <v>9000</v>
      </c>
      <c r="EN38">
        <v>21</v>
      </c>
      <c r="EO38">
        <v>5000</v>
      </c>
    </row>
    <row r="39">
      <c r="A39">
        <v>69</v>
      </c>
      <c r="B39" s="1">
        <v>45175</v>
      </c>
      <c r="C39" t="str">
        <v>0920220272</v>
      </c>
      <c r="D39" t="str">
        <v xml:space="preserve">Red Line  Bengkel </v>
      </c>
      <c r="F39" t="str">
        <v xml:space="preserve">JL.Lingkar dramaga </v>
      </c>
      <c r="G39" t="str">
        <v>Ciherang</v>
      </c>
      <c r="H39" t="str">
        <v xml:space="preserve">Dramaga </v>
      </c>
      <c r="I39" t="str">
        <v>Kab Bogor</v>
      </c>
      <c r="J39" t="str">
        <v>Jawa barat</v>
      </c>
      <c r="K39">
        <v>89638935196</v>
      </c>
      <c r="L39" t="str">
        <v>Publik</v>
      </c>
      <c r="M39" t="str">
        <v>Agus Tiarman</v>
      </c>
      <c r="N39" t="str">
        <v>non aktif</v>
      </c>
      <c r="BN39">
        <v>6</v>
      </c>
      <c r="BP39" t="str">
        <v>Penempatan</v>
      </c>
      <c r="BQ39">
        <v>9</v>
      </c>
      <c r="BR39">
        <v>10000</v>
      </c>
      <c r="BT39">
        <v>10</v>
      </c>
      <c r="BV39" t="str">
        <v>kosong</v>
      </c>
      <c r="BW39">
        <v>23</v>
      </c>
      <c r="BY39" t="str">
        <v>kosong</v>
      </c>
      <c r="BZ39">
        <v>8</v>
      </c>
      <c r="CA39">
        <v>4000</v>
      </c>
      <c r="CN39" t="str">
        <v>pindah</v>
      </c>
    </row>
    <row r="40">
      <c r="A40">
        <v>70</v>
      </c>
      <c r="B40" s="1">
        <v>45176</v>
      </c>
      <c r="C40" t="str">
        <v>0920220273</v>
      </c>
      <c r="D40" t="str">
        <v xml:space="preserve">Graha Mainan </v>
      </c>
      <c r="F40" t="str">
        <v>Jl.KH.Abdullah Bin Nuh</v>
      </c>
      <c r="G40" t="str">
        <v>Bubulak</v>
      </c>
      <c r="H40" t="str">
        <v xml:space="preserve">Bubulak </v>
      </c>
      <c r="I40" t="str">
        <v>Bogor Kota</v>
      </c>
      <c r="J40" t="str">
        <v>Jawa barat</v>
      </c>
      <c r="K40">
        <v>81281209001</v>
      </c>
      <c r="L40" t="str">
        <v>Publik</v>
      </c>
      <c r="M40" t="str">
        <v>Agus Tiarman</v>
      </c>
      <c r="N40" t="str">
        <v>non aktif</v>
      </c>
      <c r="BN40">
        <v>7</v>
      </c>
      <c r="BP40" t="str">
        <v>Penempatan</v>
      </c>
      <c r="BQ40">
        <v>9</v>
      </c>
      <c r="BS40" t="str">
        <v>kosong</v>
      </c>
      <c r="BT40">
        <v>10</v>
      </c>
      <c r="BV40" t="str">
        <v>kosong</v>
      </c>
    </row>
    <row r="41">
      <c r="A41">
        <v>71</v>
      </c>
      <c r="B41" s="1">
        <v>45176</v>
      </c>
      <c r="C41" t="str">
        <v>0920220274</v>
      </c>
      <c r="D41" t="str">
        <v>Kafe Pondok Aren</v>
      </c>
      <c r="F41" t="str">
        <v>Jl.Abdullah Bin Nuh</v>
      </c>
      <c r="G41" t="str">
        <v>Bubulak</v>
      </c>
      <c r="H41" t="str">
        <v>Bogor Barat</v>
      </c>
      <c r="I41" t="str">
        <v>Bogor Kota</v>
      </c>
      <c r="J41" t="str">
        <v>Jawa barat</v>
      </c>
      <c r="K41">
        <v>89602957777</v>
      </c>
      <c r="L41" t="str">
        <v>Publik</v>
      </c>
      <c r="M41" t="str">
        <v>Agus Tiarman</v>
      </c>
      <c r="N41" t="str">
        <v>non aktif</v>
      </c>
      <c r="BN41">
        <v>7</v>
      </c>
      <c r="BP41" t="str">
        <v>Penempatan</v>
      </c>
      <c r="BQ41">
        <v>6</v>
      </c>
      <c r="BS41" t="str">
        <v>kosong</v>
      </c>
      <c r="BT41">
        <v>10</v>
      </c>
      <c r="BV41" t="str">
        <v>kosong</v>
      </c>
      <c r="BW41">
        <v>23</v>
      </c>
      <c r="BY41" t="str">
        <v>kosong</v>
      </c>
      <c r="CB41" t="str">
        <v>di tarik</v>
      </c>
    </row>
    <row r="42">
      <c r="A42">
        <v>72</v>
      </c>
      <c r="B42" s="1">
        <v>45176</v>
      </c>
      <c r="C42" t="str">
        <v>0920220275</v>
      </c>
      <c r="D42" t="str">
        <v>Super kue  Bubulak</v>
      </c>
      <c r="F42" t="str">
        <v>Jl Raya Bubulak</v>
      </c>
      <c r="G42" t="str">
        <v>Bubulak</v>
      </c>
      <c r="H42" t="str">
        <v>Bogor Barat</v>
      </c>
      <c r="I42" t="str">
        <v xml:space="preserve">Kota Bogor </v>
      </c>
      <c r="J42" t="str">
        <v>Jawa barat</v>
      </c>
      <c r="K42">
        <v>895355318123</v>
      </c>
      <c r="L42" t="str">
        <v>Publik</v>
      </c>
      <c r="M42" t="str">
        <v>Agus Tiarman</v>
      </c>
      <c r="N42" t="str">
        <v>non aktif</v>
      </c>
      <c r="BN42">
        <v>7</v>
      </c>
      <c r="BP42" t="str">
        <v>Penempatan</v>
      </c>
      <c r="BQ42">
        <v>6</v>
      </c>
      <c r="BS42" t="str">
        <v>kosong</v>
      </c>
      <c r="BT42">
        <v>10</v>
      </c>
      <c r="BV42" t="str">
        <v>kosong</v>
      </c>
      <c r="BW42">
        <v>23</v>
      </c>
      <c r="BY42" t="str">
        <v>kosong</v>
      </c>
      <c r="BZ42">
        <v>8</v>
      </c>
      <c r="CB42" t="str">
        <v>kosong</v>
      </c>
      <c r="CC42">
        <v>26</v>
      </c>
      <c r="CD42">
        <v>1500</v>
      </c>
      <c r="CI42">
        <v>22</v>
      </c>
      <c r="CJ42">
        <v>3000</v>
      </c>
      <c r="CW42" t="str">
        <v>kosong</v>
      </c>
      <c r="DG42">
        <v>11</v>
      </c>
      <c r="DI42" t="str">
        <v>ditarik</v>
      </c>
    </row>
    <row r="43">
      <c r="A43">
        <v>73</v>
      </c>
      <c r="B43" s="1">
        <v>45176</v>
      </c>
      <c r="C43" t="str">
        <v>0920220276</v>
      </c>
      <c r="D43" t="str">
        <v xml:space="preserve">Cakra print </v>
      </c>
      <c r="F43" t="str">
        <v>Jl Raya Bubulak</v>
      </c>
      <c r="G43" t="str">
        <v>Bubulak</v>
      </c>
      <c r="H43" t="str">
        <v>Bogor Barat</v>
      </c>
      <c r="I43" t="str">
        <v xml:space="preserve">Kota Bogor </v>
      </c>
      <c r="J43" t="str">
        <v>Jawa barat</v>
      </c>
      <c r="K43">
        <v>87770615449</v>
      </c>
      <c r="L43" t="str">
        <v>Publik</v>
      </c>
      <c r="M43" t="str">
        <v>Agus Tiarman</v>
      </c>
      <c r="N43" t="str">
        <v>non aktif</v>
      </c>
      <c r="BN43">
        <v>7</v>
      </c>
      <c r="BP43" t="str">
        <v>Penempatan</v>
      </c>
      <c r="BQ43">
        <v>6</v>
      </c>
      <c r="BR43">
        <v>6000</v>
      </c>
      <c r="BT43">
        <v>10</v>
      </c>
      <c r="BV43" t="str">
        <v>kosong</v>
      </c>
      <c r="BW43">
        <v>8</v>
      </c>
      <c r="BX43">
        <v>3000</v>
      </c>
      <c r="BZ43">
        <v>8</v>
      </c>
      <c r="CB43" t="str">
        <v>kosong</v>
      </c>
      <c r="CC43">
        <v>26</v>
      </c>
      <c r="CD43">
        <v>6500</v>
      </c>
      <c r="CF43">
        <v>21</v>
      </c>
      <c r="CG43">
        <v>3000</v>
      </c>
      <c r="CI43">
        <v>22</v>
      </c>
      <c r="CJ43">
        <v>2500</v>
      </c>
      <c r="CN43" t="str">
        <v>kosong</v>
      </c>
      <c r="CO43">
        <v>20</v>
      </c>
      <c r="CP43">
        <v>2000</v>
      </c>
      <c r="CR43">
        <v>15</v>
      </c>
      <c r="CS43">
        <v>2000</v>
      </c>
    </row>
    <row r="44">
      <c r="A44">
        <v>20</v>
      </c>
      <c r="B44" s="1">
        <v>45176</v>
      </c>
      <c r="C44" t="str">
        <v>0920220277</v>
      </c>
      <c r="D44" t="str">
        <v>Nusantara Meubel</v>
      </c>
      <c r="F44" t="str">
        <v>Jl Raya Bubulak</v>
      </c>
      <c r="G44" t="str">
        <v>Bubulak</v>
      </c>
      <c r="H44" t="str">
        <v>Bogor Barat</v>
      </c>
      <c r="I44" t="str">
        <v xml:space="preserve">Kota Bogor </v>
      </c>
      <c r="J44" t="str">
        <v>Jawa barat</v>
      </c>
      <c r="K44">
        <v>83147982930</v>
      </c>
      <c r="L44" t="str">
        <v>Publik</v>
      </c>
      <c r="M44" t="str">
        <v>Agus Tiarman</v>
      </c>
      <c r="N44" t="str">
        <v>aktif</v>
      </c>
      <c r="BN44">
        <v>7</v>
      </c>
      <c r="BP44" t="str">
        <v>Penempatan</v>
      </c>
      <c r="BQ44">
        <v>6</v>
      </c>
      <c r="BS44" t="str">
        <v>kosong</v>
      </c>
      <c r="BT44">
        <v>10</v>
      </c>
      <c r="BV44" t="str">
        <v>kosong</v>
      </c>
      <c r="BW44">
        <v>8</v>
      </c>
      <c r="BX44">
        <v>4000</v>
      </c>
      <c r="BZ44">
        <v>8</v>
      </c>
      <c r="CB44" t="str">
        <v>kosong</v>
      </c>
      <c r="CC44">
        <v>8</v>
      </c>
      <c r="CE44" t="str">
        <v>kosong</v>
      </c>
      <c r="CF44">
        <v>21</v>
      </c>
      <c r="CG44">
        <v>1000</v>
      </c>
      <c r="CL44">
        <v>22</v>
      </c>
      <c r="CM44">
        <v>16000</v>
      </c>
      <c r="CQ44" t="str">
        <v>kosong</v>
      </c>
      <c r="CR44">
        <v>9</v>
      </c>
      <c r="CS44">
        <v>50000</v>
      </c>
      <c r="CU44">
        <v>15</v>
      </c>
      <c r="CV44">
        <v>21000</v>
      </c>
      <c r="CX44">
        <v>10</v>
      </c>
      <c r="CY44">
        <v>33000</v>
      </c>
      <c r="DA44">
        <v>15</v>
      </c>
      <c r="DB44">
        <v>123000</v>
      </c>
      <c r="DD44">
        <v>15</v>
      </c>
      <c r="DE44">
        <v>72000</v>
      </c>
      <c r="DG44">
        <v>17</v>
      </c>
      <c r="DH44">
        <v>105000</v>
      </c>
      <c r="DJ44">
        <v>21</v>
      </c>
      <c r="DK44">
        <v>121000</v>
      </c>
      <c r="DM44">
        <v>21</v>
      </c>
      <c r="DN44">
        <v>73000</v>
      </c>
      <c r="DY44">
        <v>11</v>
      </c>
      <c r="DZ44">
        <v>141000</v>
      </c>
      <c r="EE44">
        <v>29</v>
      </c>
      <c r="EF44">
        <v>5500</v>
      </c>
      <c r="EH44">
        <v>9</v>
      </c>
      <c r="EI44">
        <v>50000</v>
      </c>
      <c r="EN44">
        <v>25</v>
      </c>
      <c r="EP44" t="str">
        <v>kosong</v>
      </c>
      <c r="EQ44">
        <v>4</v>
      </c>
      <c r="ES44" t="str">
        <v>kosong</v>
      </c>
    </row>
    <row r="45">
      <c r="A45">
        <v>75</v>
      </c>
      <c r="B45" s="1">
        <v>45176</v>
      </c>
      <c r="C45" t="str">
        <v>0920220278</v>
      </c>
      <c r="D45" t="str">
        <v>Bakso Bundaran</v>
      </c>
      <c r="F45" t="str">
        <v>Jl Raya Bubulak</v>
      </c>
      <c r="G45" t="str">
        <v>Bubulak</v>
      </c>
      <c r="H45" t="str">
        <v>Bogor Barat</v>
      </c>
      <c r="I45" t="str">
        <v xml:space="preserve">Kota Bogor </v>
      </c>
      <c r="J45" t="str">
        <v>Jawa barat</v>
      </c>
      <c r="K45">
        <v>82260068707</v>
      </c>
      <c r="L45" t="str">
        <v>Publik</v>
      </c>
      <c r="M45" t="str">
        <v>Agus Tiarman</v>
      </c>
      <c r="N45" t="str">
        <v>non aktif</v>
      </c>
      <c r="BN45">
        <v>7</v>
      </c>
      <c r="BP45" t="str">
        <v>Penempatan</v>
      </c>
      <c r="BQ45">
        <v>9</v>
      </c>
      <c r="BR45">
        <v>27000</v>
      </c>
      <c r="BT45">
        <v>8</v>
      </c>
      <c r="BU45">
        <v>12000</v>
      </c>
      <c r="BW45">
        <v>12</v>
      </c>
      <c r="BX45">
        <v>13000</v>
      </c>
      <c r="BZ45">
        <v>12</v>
      </c>
      <c r="CA45">
        <v>11200</v>
      </c>
      <c r="CC45">
        <v>26</v>
      </c>
      <c r="CD45">
        <v>16000</v>
      </c>
      <c r="CN45" t="str">
        <v>ditarik</v>
      </c>
    </row>
    <row r="46">
      <c r="A46">
        <v>76</v>
      </c>
      <c r="B46" s="1">
        <v>45176</v>
      </c>
      <c r="C46" t="str">
        <v>0920220279</v>
      </c>
      <c r="D46" t="str">
        <v>Beranda Coffe</v>
      </c>
      <c r="F46" t="str">
        <v xml:space="preserve">Jl.Raya Dramaga </v>
      </c>
      <c r="G46" t="str">
        <v xml:space="preserve">Dramaga </v>
      </c>
      <c r="H46" t="str">
        <v xml:space="preserve">Dramaga </v>
      </c>
      <c r="I46" t="str">
        <v>Kab Bogor</v>
      </c>
      <c r="J46" t="str">
        <v>Jawa barat</v>
      </c>
      <c r="K46">
        <v>81381301106</v>
      </c>
      <c r="L46" t="str">
        <v>Publik</v>
      </c>
      <c r="M46" t="str">
        <v>Agus Tiarman</v>
      </c>
      <c r="N46" t="str">
        <v>non aktif</v>
      </c>
      <c r="BN46">
        <v>7</v>
      </c>
      <c r="BP46" t="str">
        <v>Penempatan</v>
      </c>
      <c r="BQ46">
        <v>10</v>
      </c>
      <c r="BS46" t="str">
        <v>kosong</v>
      </c>
      <c r="BT46">
        <v>23</v>
      </c>
      <c r="BV46" t="str">
        <v>kosong</v>
      </c>
      <c r="BW46">
        <v>23</v>
      </c>
      <c r="BY46" t="str">
        <v>kosong</v>
      </c>
      <c r="CB46" t="str">
        <v>tutup</v>
      </c>
    </row>
    <row r="47">
      <c r="A47">
        <v>21</v>
      </c>
      <c r="B47" s="1">
        <v>45176</v>
      </c>
      <c r="C47" t="str">
        <v>0920220280</v>
      </c>
      <c r="D47" t="str">
        <v>Printing Kreasi langit</v>
      </c>
      <c r="F47" t="str">
        <v>Jl.Raya Dramaga deket super kue</v>
      </c>
      <c r="G47" t="str">
        <v xml:space="preserve">Dramaga </v>
      </c>
      <c r="H47" t="str">
        <v xml:space="preserve">Dramaga </v>
      </c>
      <c r="I47" t="str">
        <v>Kab Bogor</v>
      </c>
      <c r="J47" t="str">
        <v>Jawa barat</v>
      </c>
      <c r="K47">
        <v>85715357753</v>
      </c>
      <c r="L47" t="str">
        <v>Publik</v>
      </c>
      <c r="M47" t="str">
        <v>Agus Tiarman</v>
      </c>
      <c r="N47" t="str">
        <v>aktif</v>
      </c>
      <c r="BN47">
        <v>7</v>
      </c>
      <c r="BP47" t="str">
        <v>Penempatan</v>
      </c>
      <c r="BQ47">
        <v>6</v>
      </c>
      <c r="BR47">
        <v>12500</v>
      </c>
      <c r="BT47">
        <v>9</v>
      </c>
      <c r="BU47">
        <v>27000</v>
      </c>
      <c r="BW47">
        <v>7</v>
      </c>
      <c r="BX47">
        <v>11500</v>
      </c>
      <c r="BZ47">
        <v>17</v>
      </c>
      <c r="CA47">
        <v>7000</v>
      </c>
      <c r="CF47">
        <v>8</v>
      </c>
      <c r="CG47">
        <v>23000</v>
      </c>
      <c r="CI47">
        <v>1</v>
      </c>
      <c r="CJ47">
        <v>18500</v>
      </c>
      <c r="CL47">
        <v>8</v>
      </c>
      <c r="CM47">
        <v>20000</v>
      </c>
      <c r="CO47">
        <v>7</v>
      </c>
      <c r="CP47">
        <v>20000</v>
      </c>
      <c r="CR47">
        <v>9</v>
      </c>
      <c r="CS47">
        <v>32000</v>
      </c>
      <c r="CU47">
        <v>6</v>
      </c>
      <c r="CV47">
        <v>17000</v>
      </c>
      <c r="CX47">
        <v>5</v>
      </c>
      <c r="CY47">
        <v>19000</v>
      </c>
      <c r="DA47">
        <v>10</v>
      </c>
      <c r="DB47">
        <v>21000</v>
      </c>
      <c r="DD47">
        <v>8</v>
      </c>
      <c r="DE47">
        <v>16000</v>
      </c>
      <c r="DG47">
        <v>5</v>
      </c>
      <c r="DH47">
        <v>19000</v>
      </c>
      <c r="DJ47">
        <v>7</v>
      </c>
      <c r="DK47">
        <v>19000</v>
      </c>
      <c r="DM47">
        <v>10</v>
      </c>
      <c r="DN47">
        <v>16000</v>
      </c>
      <c r="DP47">
        <v>5</v>
      </c>
      <c r="DQ47">
        <v>11000</v>
      </c>
      <c r="DS47">
        <v>11</v>
      </c>
      <c r="DT47">
        <v>9000</v>
      </c>
      <c r="DV47">
        <v>8</v>
      </c>
      <c r="DW47">
        <v>14000</v>
      </c>
      <c r="DY47">
        <v>17</v>
      </c>
      <c r="DZ47">
        <v>17000</v>
      </c>
      <c r="EB47">
        <v>9</v>
      </c>
      <c r="EC47">
        <v>14000</v>
      </c>
      <c r="EE47">
        <v>13</v>
      </c>
      <c r="EF47">
        <v>25500</v>
      </c>
      <c r="EH47">
        <v>16</v>
      </c>
      <c r="EI47">
        <v>21000</v>
      </c>
      <c r="EK47">
        <v>9</v>
      </c>
      <c r="EL47">
        <v>20500</v>
      </c>
      <c r="EN47">
        <v>7</v>
      </c>
      <c r="EO47">
        <v>24000</v>
      </c>
      <c r="EQ47">
        <v>8</v>
      </c>
      <c r="ER47">
        <v>22000</v>
      </c>
    </row>
    <row r="48">
      <c r="A48">
        <v>78</v>
      </c>
      <c r="B48" s="1">
        <v>45176</v>
      </c>
      <c r="C48" t="str">
        <v>0920220281</v>
      </c>
      <c r="D48" t="str">
        <v>Geprek Cold  Chick</v>
      </c>
      <c r="F48" t="str">
        <v xml:space="preserve">Jl.Raya Dramaga </v>
      </c>
      <c r="G48" t="str">
        <v xml:space="preserve">Dramaga </v>
      </c>
      <c r="H48" t="str">
        <v xml:space="preserve">Dramaga </v>
      </c>
      <c r="I48" t="str">
        <v>Kab Bogor</v>
      </c>
      <c r="J48" t="str">
        <v>Jawa barat</v>
      </c>
      <c r="K48">
        <v>85692778074</v>
      </c>
      <c r="L48" t="str">
        <v>Publik</v>
      </c>
      <c r="M48" t="str">
        <v>Agus Tiarman</v>
      </c>
      <c r="N48" t="str">
        <v>non aktif</v>
      </c>
      <c r="BN48">
        <v>7</v>
      </c>
      <c r="BP48" t="str">
        <v>Penempatan</v>
      </c>
      <c r="BQ48">
        <v>9</v>
      </c>
      <c r="BS48" t="str">
        <v>kosong</v>
      </c>
      <c r="BT48">
        <v>10</v>
      </c>
      <c r="BV48" t="str">
        <v>kosong</v>
      </c>
      <c r="BW48">
        <v>23</v>
      </c>
      <c r="BY48" t="str">
        <v>kosong</v>
      </c>
      <c r="BZ48">
        <v>16</v>
      </c>
      <c r="CA48">
        <v>5100</v>
      </c>
      <c r="CF48">
        <v>4</v>
      </c>
      <c r="CG48">
        <v>1000</v>
      </c>
      <c r="CI48">
        <v>1</v>
      </c>
      <c r="CJ48">
        <v>2000</v>
      </c>
      <c r="CN48" t="str">
        <v>kosong</v>
      </c>
      <c r="CQ48" t="str">
        <v>tutup</v>
      </c>
      <c r="CT48" t="str">
        <v>ditarik</v>
      </c>
    </row>
    <row r="49">
      <c r="A49">
        <v>22</v>
      </c>
      <c r="B49" s="1">
        <v>45176</v>
      </c>
      <c r="C49" t="str">
        <v>0920220282</v>
      </c>
      <c r="D49" t="str">
        <v>Ibu Atika Bimba AIUEO Dramaga</v>
      </c>
      <c r="F49" t="str">
        <v xml:space="preserve">Jl.Raya Dramaga ,ruko Ziara Venue </v>
      </c>
      <c r="G49" t="str">
        <v>Margajaya</v>
      </c>
      <c r="H49" t="str">
        <v>Bogor Barat</v>
      </c>
      <c r="I49" t="str">
        <v xml:space="preserve">Kota Bogor </v>
      </c>
      <c r="J49" t="str">
        <v>Jawa barat</v>
      </c>
      <c r="K49">
        <v>85715010750</v>
      </c>
      <c r="L49" t="str">
        <v>Publik</v>
      </c>
      <c r="M49" t="str">
        <v>Agus Tiarman</v>
      </c>
      <c r="N49" t="str">
        <v>aktif</v>
      </c>
      <c r="BN49">
        <v>7</v>
      </c>
      <c r="BP49" t="str">
        <v>Penempatan</v>
      </c>
      <c r="BQ49">
        <v>9</v>
      </c>
      <c r="BR49">
        <v>39000</v>
      </c>
      <c r="BT49">
        <v>9</v>
      </c>
      <c r="BU49">
        <v>23000</v>
      </c>
      <c r="BW49">
        <v>7</v>
      </c>
      <c r="BX49">
        <v>12000</v>
      </c>
      <c r="BZ49">
        <v>16</v>
      </c>
      <c r="CB49" t="str">
        <v>kosong</v>
      </c>
      <c r="CC49">
        <v>16</v>
      </c>
      <c r="CE49" t="str">
        <v>kosong</v>
      </c>
      <c r="CF49">
        <v>19</v>
      </c>
      <c r="CG49">
        <v>30000</v>
      </c>
      <c r="CI49">
        <v>24</v>
      </c>
      <c r="CJ49">
        <v>45000</v>
      </c>
      <c r="CL49">
        <v>20</v>
      </c>
      <c r="CM49">
        <v>2000</v>
      </c>
      <c r="CO49">
        <v>7</v>
      </c>
      <c r="CP49">
        <v>22000</v>
      </c>
      <c r="CR49">
        <v>15</v>
      </c>
      <c r="CS49">
        <v>75000</v>
      </c>
      <c r="CU49" t="str">
        <v>15 20</v>
      </c>
      <c r="CV49">
        <v>115000</v>
      </c>
      <c r="CX49">
        <v>18</v>
      </c>
      <c r="CY49">
        <v>3000</v>
      </c>
      <c r="DC49" t="str">
        <v>kosong</v>
      </c>
      <c r="DD49">
        <v>8</v>
      </c>
      <c r="DE49">
        <v>6000</v>
      </c>
      <c r="DG49">
        <v>5</v>
      </c>
      <c r="DH49">
        <v>23000</v>
      </c>
      <c r="DJ49">
        <v>7</v>
      </c>
      <c r="DK49">
        <v>10000</v>
      </c>
      <c r="DM49">
        <v>7</v>
      </c>
      <c r="DN49">
        <v>10000</v>
      </c>
      <c r="DP49">
        <v>6</v>
      </c>
      <c r="DQ49">
        <v>20000</v>
      </c>
      <c r="DS49">
        <v>11</v>
      </c>
      <c r="DT49">
        <v>26000</v>
      </c>
      <c r="DV49">
        <v>6</v>
      </c>
      <c r="DW49">
        <v>2500</v>
      </c>
      <c r="DY49">
        <v>5</v>
      </c>
      <c r="DZ49">
        <v>15000</v>
      </c>
      <c r="EB49">
        <v>7</v>
      </c>
      <c r="EC49">
        <v>23000</v>
      </c>
      <c r="EE49">
        <v>7</v>
      </c>
      <c r="EF49">
        <v>20000</v>
      </c>
      <c r="EH49">
        <v>9</v>
      </c>
      <c r="EI49">
        <v>6000</v>
      </c>
      <c r="EK49">
        <v>6</v>
      </c>
      <c r="EL49">
        <v>31000</v>
      </c>
      <c r="EN49">
        <v>5</v>
      </c>
      <c r="EO49">
        <v>14000</v>
      </c>
      <c r="EQ49">
        <v>8</v>
      </c>
      <c r="ER49">
        <v>15500</v>
      </c>
    </row>
    <row r="50">
      <c r="A50">
        <v>23</v>
      </c>
      <c r="B50" s="1">
        <v>45176</v>
      </c>
      <c r="C50" t="str">
        <v>0920220283</v>
      </c>
      <c r="D50" t="str">
        <v>Queen laundry</v>
      </c>
      <c r="F50" t="str">
        <v>Jl.Raya Dramaga deket super kue</v>
      </c>
      <c r="G50" t="str">
        <v xml:space="preserve">Dramaga </v>
      </c>
      <c r="H50" t="str">
        <v xml:space="preserve">Dramaga </v>
      </c>
      <c r="I50" t="str">
        <v>Kab Bogor</v>
      </c>
      <c r="J50" t="str">
        <v>Jawa barat</v>
      </c>
      <c r="K50">
        <v>87770009490</v>
      </c>
      <c r="L50" t="str">
        <v>Publik</v>
      </c>
      <c r="M50" t="str">
        <v>Agus Tiarman</v>
      </c>
      <c r="N50" t="str">
        <v>non aktif</v>
      </c>
      <c r="BN50">
        <v>7</v>
      </c>
      <c r="BP50" t="str">
        <v>Penempatan</v>
      </c>
      <c r="BQ50">
        <v>6</v>
      </c>
      <c r="BR50">
        <v>6000</v>
      </c>
      <c r="BT50">
        <v>9</v>
      </c>
      <c r="BU50">
        <v>10000</v>
      </c>
      <c r="BW50">
        <v>23</v>
      </c>
      <c r="BY50" t="str">
        <v>kosong</v>
      </c>
      <c r="BZ50">
        <v>16</v>
      </c>
      <c r="CA50">
        <v>11000</v>
      </c>
      <c r="CF50">
        <v>8</v>
      </c>
      <c r="CG50">
        <v>9000</v>
      </c>
      <c r="CI50">
        <v>1</v>
      </c>
      <c r="CJ50">
        <v>2500</v>
      </c>
      <c r="CN50" t="str">
        <v>koosng</v>
      </c>
      <c r="CO50">
        <v>7</v>
      </c>
      <c r="CP50">
        <v>8500</v>
      </c>
      <c r="CR50">
        <v>9</v>
      </c>
      <c r="CS50">
        <v>6000</v>
      </c>
      <c r="CU50">
        <v>6</v>
      </c>
      <c r="CV50">
        <v>6000</v>
      </c>
      <c r="CX50">
        <v>5</v>
      </c>
      <c r="CY50">
        <v>6000</v>
      </c>
      <c r="DA50">
        <v>10</v>
      </c>
      <c r="DB50">
        <v>5000</v>
      </c>
      <c r="DD50">
        <v>8</v>
      </c>
      <c r="DE50">
        <v>5000</v>
      </c>
      <c r="DG50">
        <v>5</v>
      </c>
      <c r="DH50">
        <v>5000</v>
      </c>
      <c r="DJ50">
        <v>7</v>
      </c>
      <c r="DK50">
        <v>9000</v>
      </c>
      <c r="DM50">
        <v>7</v>
      </c>
      <c r="DN50">
        <v>9000</v>
      </c>
      <c r="DP50">
        <v>5</v>
      </c>
      <c r="DQ50">
        <v>10000</v>
      </c>
      <c r="DS50">
        <v>8</v>
      </c>
      <c r="DT50">
        <v>6500</v>
      </c>
      <c r="DV50">
        <v>5</v>
      </c>
      <c r="DW50">
        <v>4000</v>
      </c>
      <c r="DY50">
        <v>4</v>
      </c>
      <c r="DZ50">
        <v>7000</v>
      </c>
      <c r="EB50">
        <v>7</v>
      </c>
      <c r="EC50">
        <v>6000</v>
      </c>
      <c r="EE50">
        <v>6</v>
      </c>
      <c r="EF50">
        <v>3500</v>
      </c>
      <c r="EH50">
        <v>3</v>
      </c>
      <c r="EI50">
        <v>3500</v>
      </c>
      <c r="EM50" t="str">
        <v>kosong</v>
      </c>
      <c r="EP50" t="str">
        <v>ditarik</v>
      </c>
    </row>
    <row r="51">
      <c r="A51">
        <v>24</v>
      </c>
      <c r="B51" s="1">
        <v>45176</v>
      </c>
      <c r="C51" t="str">
        <v>0920220284</v>
      </c>
      <c r="D51" t="str">
        <v xml:space="preserve">Super Kue Dramaga </v>
      </c>
      <c r="F51" t="str">
        <v>JL.Raya Dramaga</v>
      </c>
      <c r="G51" t="str">
        <v>Margajaya</v>
      </c>
      <c r="H51" t="str">
        <v>Bogor Barat</v>
      </c>
      <c r="I51" t="str">
        <v xml:space="preserve">Kota Bogor </v>
      </c>
      <c r="J51" t="str">
        <v>Jawa barat</v>
      </c>
      <c r="K51">
        <v>8111142900</v>
      </c>
      <c r="L51" t="str">
        <v>Publik</v>
      </c>
      <c r="M51" t="str">
        <v>Agus Tiarman</v>
      </c>
      <c r="N51" t="str">
        <v>aktif</v>
      </c>
      <c r="BN51">
        <v>7</v>
      </c>
      <c r="BP51" t="str">
        <v>Penempatan</v>
      </c>
      <c r="BQ51">
        <v>6</v>
      </c>
      <c r="BR51">
        <v>7000</v>
      </c>
      <c r="BT51">
        <v>9</v>
      </c>
      <c r="BU51">
        <v>41000</v>
      </c>
      <c r="BW51">
        <v>7</v>
      </c>
      <c r="BX51">
        <v>40200</v>
      </c>
      <c r="BZ51">
        <v>16</v>
      </c>
      <c r="CA51">
        <v>10000</v>
      </c>
      <c r="CC51">
        <v>7</v>
      </c>
      <c r="CD51">
        <v>4500</v>
      </c>
      <c r="CF51">
        <v>8</v>
      </c>
      <c r="CG51">
        <v>13000</v>
      </c>
      <c r="CI51">
        <v>30</v>
      </c>
      <c r="CJ51">
        <v>16000</v>
      </c>
      <c r="CN51" t="str">
        <v>kosong</v>
      </c>
      <c r="CO51">
        <v>7</v>
      </c>
      <c r="CP51">
        <v>7000</v>
      </c>
      <c r="CR51">
        <v>9</v>
      </c>
      <c r="CS51">
        <v>5000</v>
      </c>
      <c r="CU51">
        <v>6</v>
      </c>
      <c r="CV51">
        <v>6000</v>
      </c>
      <c r="CX51">
        <v>5</v>
      </c>
      <c r="CY51">
        <v>4500</v>
      </c>
      <c r="DC51" t="str">
        <v>kosong</v>
      </c>
      <c r="DD51">
        <v>8</v>
      </c>
      <c r="DE51">
        <v>2000</v>
      </c>
      <c r="DG51">
        <v>5</v>
      </c>
      <c r="DH51">
        <v>17000</v>
      </c>
      <c r="DJ51">
        <v>7</v>
      </c>
      <c r="DK51">
        <v>3500</v>
      </c>
      <c r="DM51">
        <v>7</v>
      </c>
      <c r="DN51">
        <v>7000</v>
      </c>
      <c r="DP51">
        <v>6</v>
      </c>
      <c r="DQ51">
        <v>17500</v>
      </c>
      <c r="DS51">
        <v>11</v>
      </c>
      <c r="DT51">
        <v>38000</v>
      </c>
      <c r="DV51">
        <v>6</v>
      </c>
      <c r="DX51" t="str">
        <v>kosong</v>
      </c>
      <c r="DY51">
        <v>5</v>
      </c>
      <c r="DZ51">
        <v>5500</v>
      </c>
      <c r="EB51">
        <v>7</v>
      </c>
      <c r="EC51">
        <v>21000</v>
      </c>
      <c r="EE51">
        <v>7</v>
      </c>
      <c r="EF51">
        <v>62000</v>
      </c>
      <c r="EH51">
        <v>3</v>
      </c>
      <c r="EI51">
        <v>23500</v>
      </c>
      <c r="EK51">
        <v>6</v>
      </c>
      <c r="EL51">
        <v>4000</v>
      </c>
      <c r="EN51">
        <v>5</v>
      </c>
      <c r="EO51">
        <v>11000</v>
      </c>
      <c r="EQ51">
        <v>3</v>
      </c>
      <c r="ER51">
        <v>31000</v>
      </c>
    </row>
    <row r="52">
      <c r="A52">
        <v>82</v>
      </c>
      <c r="B52" s="1">
        <v>45176</v>
      </c>
      <c r="C52" t="str">
        <v>0920220285</v>
      </c>
      <c r="D52" t="str">
        <v>De Raden cafe</v>
      </c>
      <c r="F52" t="str">
        <v>JL. lingkar bubulak</v>
      </c>
      <c r="G52" t="str">
        <v>bubulak</v>
      </c>
      <c r="H52" t="str">
        <v>bogor barat</v>
      </c>
      <c r="I52" t="str">
        <v xml:space="preserve">Kota Bogor </v>
      </c>
      <c r="J52" t="str">
        <v>Jawa barat</v>
      </c>
      <c r="K52">
        <v>85693349817</v>
      </c>
      <c r="L52" t="str">
        <v>Publik</v>
      </c>
      <c r="M52" t="str">
        <v>Agus Tiarman</v>
      </c>
      <c r="N52" t="str">
        <v>non aktif</v>
      </c>
      <c r="BN52">
        <v>7</v>
      </c>
      <c r="BP52" t="str">
        <v>Penempatan</v>
      </c>
      <c r="BQ52">
        <v>10</v>
      </c>
      <c r="BR52">
        <v>56000</v>
      </c>
      <c r="BT52">
        <v>9</v>
      </c>
      <c r="BU52">
        <v>15000</v>
      </c>
      <c r="BW52">
        <v>23</v>
      </c>
      <c r="BY52" t="str">
        <v>kosong</v>
      </c>
      <c r="BZ52">
        <v>17</v>
      </c>
      <c r="CA52">
        <v>2000</v>
      </c>
      <c r="CC52">
        <v>23</v>
      </c>
      <c r="CE52" t="str">
        <v>kosong</v>
      </c>
      <c r="CN52" t="str">
        <v>ditarik</v>
      </c>
    </row>
    <row r="53">
      <c r="A53">
        <v>25</v>
      </c>
      <c r="B53" s="1">
        <v>45176</v>
      </c>
      <c r="C53" t="str">
        <v>0920220286</v>
      </c>
      <c r="D53" t="str">
        <v xml:space="preserve">Toko beras Al madinah </v>
      </c>
      <c r="F53" t="str">
        <v>Jl Raya Cifor Bubulak</v>
      </c>
      <c r="G53" t="str">
        <v>Bubulak</v>
      </c>
      <c r="H53" t="str">
        <v>Bogor Barat</v>
      </c>
      <c r="I53" t="str">
        <v xml:space="preserve">Kota Bogor </v>
      </c>
      <c r="J53" t="str">
        <v>Jawa barat</v>
      </c>
      <c r="K53">
        <v>87874223103</v>
      </c>
      <c r="L53" t="str">
        <v>Publik</v>
      </c>
      <c r="M53" t="str">
        <v>Agus Tiarman</v>
      </c>
      <c r="N53" t="str">
        <v>aktif</v>
      </c>
      <c r="BN53">
        <v>7</v>
      </c>
      <c r="BP53" t="str">
        <v>Penempatan</v>
      </c>
      <c r="BQ53" t="str">
        <v>9+30</v>
      </c>
      <c r="BR53">
        <v>26000</v>
      </c>
      <c r="BT53">
        <v>27</v>
      </c>
      <c r="BU53">
        <v>13000</v>
      </c>
      <c r="BW53">
        <v>18</v>
      </c>
      <c r="BX53">
        <v>16000</v>
      </c>
      <c r="BZ53">
        <v>15</v>
      </c>
      <c r="CA53">
        <v>22000</v>
      </c>
      <c r="CC53">
        <v>6</v>
      </c>
      <c r="CD53">
        <v>20500</v>
      </c>
      <c r="CF53">
        <v>6</v>
      </c>
      <c r="CG53">
        <v>11500</v>
      </c>
      <c r="CI53">
        <v>3</v>
      </c>
      <c r="CJ53">
        <v>43000</v>
      </c>
      <c r="CL53">
        <v>7</v>
      </c>
      <c r="CM53">
        <v>30000</v>
      </c>
      <c r="CO53">
        <v>7</v>
      </c>
      <c r="CP53">
        <v>32000</v>
      </c>
      <c r="CR53">
        <v>8</v>
      </c>
      <c r="CS53">
        <v>6000</v>
      </c>
      <c r="CU53">
        <v>5</v>
      </c>
      <c r="CV53">
        <v>26000</v>
      </c>
      <c r="CX53">
        <v>4</v>
      </c>
      <c r="CY53">
        <v>33000</v>
      </c>
      <c r="DA53">
        <v>7</v>
      </c>
      <c r="DB53">
        <v>35000</v>
      </c>
      <c r="DD53">
        <v>6</v>
      </c>
      <c r="DE53">
        <v>9000</v>
      </c>
      <c r="DG53">
        <v>4</v>
      </c>
      <c r="DH53">
        <v>28000</v>
      </c>
      <c r="DJ53">
        <v>6</v>
      </c>
      <c r="DK53">
        <v>18000</v>
      </c>
      <c r="DM53">
        <v>6</v>
      </c>
      <c r="DN53">
        <v>9500</v>
      </c>
      <c r="DP53">
        <v>6</v>
      </c>
      <c r="DQ53">
        <v>16000</v>
      </c>
      <c r="DS53">
        <v>9</v>
      </c>
      <c r="DT53">
        <v>10000</v>
      </c>
      <c r="DV53">
        <v>5</v>
      </c>
      <c r="DW53">
        <v>19000</v>
      </c>
      <c r="DY53">
        <v>4</v>
      </c>
      <c r="DZ53">
        <v>15500</v>
      </c>
      <c r="EB53">
        <v>3</v>
      </c>
      <c r="EC53">
        <v>17500</v>
      </c>
      <c r="EE53">
        <v>4</v>
      </c>
      <c r="EF53">
        <v>23500</v>
      </c>
      <c r="EH53">
        <v>4</v>
      </c>
      <c r="EI53">
        <v>7000</v>
      </c>
      <c r="EK53">
        <v>2</v>
      </c>
      <c r="EL53">
        <v>13500</v>
      </c>
      <c r="EN53">
        <v>4</v>
      </c>
      <c r="EO53">
        <v>10500</v>
      </c>
      <c r="EQ53">
        <v>2</v>
      </c>
      <c r="ER53">
        <v>9500</v>
      </c>
    </row>
    <row r="54">
      <c r="A54">
        <v>36</v>
      </c>
      <c r="B54" s="1">
        <v>45177</v>
      </c>
      <c r="C54" t="str">
        <v>0920220287</v>
      </c>
      <c r="D54" t="str">
        <v>Bakso Eco</v>
      </c>
      <c r="F54" t="str">
        <v>BNR Residence</v>
      </c>
      <c r="G54" t="str">
        <v>Mulyaharja</v>
      </c>
      <c r="H54" t="str">
        <v>Bogor Selatan</v>
      </c>
      <c r="I54" t="str">
        <v xml:space="preserve">Kota Bogor </v>
      </c>
      <c r="J54" t="str">
        <v>Jawa barat</v>
      </c>
      <c r="K54">
        <v>89517507767</v>
      </c>
      <c r="L54" t="str">
        <v>Publik</v>
      </c>
      <c r="M54" t="str">
        <v>Agus Tiarman</v>
      </c>
      <c r="N54" t="str">
        <v>non aktif</v>
      </c>
      <c r="BN54">
        <v>8</v>
      </c>
      <c r="BP54" t="str">
        <v>Penempatan</v>
      </c>
      <c r="BQ54">
        <v>10</v>
      </c>
      <c r="BS54" t="str">
        <v>kosong</v>
      </c>
      <c r="BT54">
        <v>23</v>
      </c>
      <c r="BV54" t="str">
        <v>kosong</v>
      </c>
      <c r="BW54">
        <v>11</v>
      </c>
      <c r="BX54">
        <v>16000</v>
      </c>
      <c r="BZ54">
        <v>15</v>
      </c>
      <c r="CA54">
        <v>6500</v>
      </c>
      <c r="CC54">
        <v>22</v>
      </c>
      <c r="CD54">
        <v>6000</v>
      </c>
      <c r="CF54">
        <v>26</v>
      </c>
      <c r="CG54">
        <v>1500</v>
      </c>
      <c r="CI54">
        <v>25</v>
      </c>
      <c r="CJ54">
        <v>16000</v>
      </c>
      <c r="CL54">
        <v>21</v>
      </c>
      <c r="CM54">
        <v>6000</v>
      </c>
      <c r="CO54">
        <v>19</v>
      </c>
      <c r="CP54">
        <v>5000</v>
      </c>
      <c r="CR54">
        <v>16</v>
      </c>
      <c r="CS54">
        <v>18000</v>
      </c>
      <c r="CU54">
        <v>16</v>
      </c>
      <c r="CV54">
        <v>5000</v>
      </c>
      <c r="CX54">
        <v>17</v>
      </c>
      <c r="CY54">
        <v>3000</v>
      </c>
      <c r="DA54">
        <v>17</v>
      </c>
      <c r="DB54">
        <v>8000</v>
      </c>
      <c r="DD54">
        <v>18</v>
      </c>
      <c r="DE54">
        <v>12000</v>
      </c>
      <c r="DG54">
        <v>17</v>
      </c>
      <c r="DH54">
        <v>6000</v>
      </c>
      <c r="DJ54">
        <v>14</v>
      </c>
      <c r="DK54">
        <v>16000</v>
      </c>
      <c r="DM54">
        <v>14</v>
      </c>
      <c r="DN54">
        <v>3500</v>
      </c>
      <c r="DP54">
        <v>12</v>
      </c>
      <c r="DQ54">
        <v>4000</v>
      </c>
      <c r="DS54">
        <v>15</v>
      </c>
      <c r="DT54">
        <v>9000</v>
      </c>
      <c r="DV54">
        <v>15</v>
      </c>
      <c r="DW54">
        <v>4000</v>
      </c>
      <c r="DY54">
        <v>18</v>
      </c>
      <c r="DZ54">
        <v>4500</v>
      </c>
      <c r="EB54">
        <v>16</v>
      </c>
      <c r="EC54">
        <v>6500</v>
      </c>
      <c r="EG54" t="str">
        <v>kosong</v>
      </c>
      <c r="EH54">
        <v>17</v>
      </c>
      <c r="EJ54" t="str">
        <v>ditarik</v>
      </c>
    </row>
    <row r="55">
      <c r="A55">
        <v>26</v>
      </c>
      <c r="B55" s="1">
        <v>45177</v>
      </c>
      <c r="C55" t="str">
        <v>0920220288</v>
      </c>
      <c r="D55" t="str">
        <v xml:space="preserve">Rajanya Soto Mie Bogor / dapur nisa </v>
      </c>
      <c r="F55" t="str">
        <v>Jl.Raya BNR</v>
      </c>
      <c r="G55" t="str">
        <v>Mulyaharja</v>
      </c>
      <c r="H55" t="str">
        <v>Bogor Selatan</v>
      </c>
      <c r="I55" t="str">
        <v xml:space="preserve">Kota Bogor </v>
      </c>
      <c r="J55" t="str">
        <v>Jawa barat</v>
      </c>
      <c r="K55">
        <v>81389201554</v>
      </c>
      <c r="L55" t="str">
        <v>Publik</v>
      </c>
      <c r="M55" t="str">
        <v>Agus Tiarman</v>
      </c>
      <c r="N55" t="str">
        <v>aktif</v>
      </c>
      <c r="BN55">
        <v>8</v>
      </c>
      <c r="BP55" t="str">
        <v>Penempatan</v>
      </c>
      <c r="BQ55">
        <v>10</v>
      </c>
      <c r="BS55" t="str">
        <v>kosong</v>
      </c>
      <c r="BT55">
        <v>23</v>
      </c>
      <c r="BV55" t="str">
        <v>kosong</v>
      </c>
      <c r="BW55">
        <v>11</v>
      </c>
      <c r="BX55">
        <v>5000</v>
      </c>
      <c r="BZ55">
        <v>15</v>
      </c>
      <c r="CA55">
        <v>14000</v>
      </c>
      <c r="CC55">
        <v>22</v>
      </c>
      <c r="CD55">
        <v>2000</v>
      </c>
      <c r="CF55">
        <v>26</v>
      </c>
      <c r="CG55">
        <v>2000</v>
      </c>
      <c r="CN55" t="str">
        <v>kosong</v>
      </c>
      <c r="CO55">
        <v>19</v>
      </c>
      <c r="CP55">
        <v>7000</v>
      </c>
      <c r="CT55" t="str">
        <v>kosong</v>
      </c>
      <c r="CU55">
        <v>16</v>
      </c>
      <c r="CV55">
        <v>9000</v>
      </c>
      <c r="CX55">
        <v>17</v>
      </c>
      <c r="CY55">
        <v>4000</v>
      </c>
      <c r="DA55">
        <v>17</v>
      </c>
      <c r="DB55">
        <v>14000</v>
      </c>
      <c r="DD55">
        <v>18</v>
      </c>
      <c r="DE55">
        <v>11000</v>
      </c>
      <c r="DG55">
        <v>11</v>
      </c>
      <c r="DI55" t="str">
        <v>kosong</v>
      </c>
      <c r="DJ55">
        <v>14</v>
      </c>
      <c r="DK55">
        <v>26000</v>
      </c>
      <c r="DM55">
        <v>14</v>
      </c>
      <c r="DN55">
        <v>7500</v>
      </c>
      <c r="DP55">
        <v>12</v>
      </c>
      <c r="DQ55">
        <v>5000</v>
      </c>
      <c r="DS55">
        <v>15</v>
      </c>
      <c r="DT55">
        <v>17000</v>
      </c>
      <c r="DV55">
        <v>15</v>
      </c>
      <c r="DW55">
        <v>15000</v>
      </c>
      <c r="DY55">
        <v>18</v>
      </c>
      <c r="DZ55">
        <v>14000</v>
      </c>
      <c r="EB55">
        <v>16</v>
      </c>
      <c r="EC55">
        <v>8000</v>
      </c>
      <c r="EE55">
        <v>21</v>
      </c>
      <c r="EF55">
        <v>5000</v>
      </c>
      <c r="EJ55" t="str">
        <v>kosong</v>
      </c>
      <c r="EK55">
        <v>16</v>
      </c>
      <c r="EM55" t="str">
        <v>kosong</v>
      </c>
      <c r="EN55">
        <v>14</v>
      </c>
      <c r="EO55">
        <v>29000</v>
      </c>
    </row>
    <row r="56">
      <c r="A56">
        <v>86</v>
      </c>
      <c r="B56" s="1">
        <v>45177</v>
      </c>
      <c r="C56" t="str">
        <v>0920220289</v>
      </c>
      <c r="D56" t="str">
        <v>Lesehan mas bro</v>
      </c>
      <c r="F56" t="str">
        <v>Jl.Raya BNR</v>
      </c>
      <c r="G56" t="str">
        <v>Mulyaharja</v>
      </c>
      <c r="H56" t="str">
        <v>Bogor Selatan</v>
      </c>
      <c r="I56" t="str">
        <v xml:space="preserve">Kota Bogor </v>
      </c>
      <c r="J56" t="str">
        <v>Jawa barat</v>
      </c>
      <c r="K56">
        <v>85886080489</v>
      </c>
      <c r="L56" t="str">
        <v>Publik</v>
      </c>
      <c r="M56" t="str">
        <v>Agus Tiarman</v>
      </c>
      <c r="N56" t="str">
        <v>non aktif</v>
      </c>
      <c r="BN56">
        <v>8</v>
      </c>
      <c r="BP56" t="str">
        <v>Penempatan</v>
      </c>
      <c r="BQ56">
        <v>10</v>
      </c>
      <c r="BS56" t="str">
        <v xml:space="preserve">kosong </v>
      </c>
      <c r="BT56">
        <v>23</v>
      </c>
      <c r="BV56" t="str">
        <v>kosong</v>
      </c>
      <c r="BW56">
        <v>23</v>
      </c>
      <c r="BY56" t="str">
        <v>kosong</v>
      </c>
      <c r="BZ56">
        <v>5</v>
      </c>
      <c r="CB56" t="str">
        <v>kosong</v>
      </c>
      <c r="CC56">
        <v>22</v>
      </c>
      <c r="CD56">
        <v>1500</v>
      </c>
      <c r="CI56">
        <v>30</v>
      </c>
      <c r="CJ56">
        <v>2500</v>
      </c>
      <c r="CQ56" t="str">
        <v>kosong</v>
      </c>
      <c r="CT56" t="str">
        <v>kosong</v>
      </c>
      <c r="DV56">
        <v>15</v>
      </c>
      <c r="DX56" t="str">
        <v>kosong</v>
      </c>
      <c r="EB56">
        <v>17</v>
      </c>
      <c r="ED56" t="str">
        <v>ditarik</v>
      </c>
    </row>
    <row r="57">
      <c r="A57">
        <v>87</v>
      </c>
      <c r="B57" s="1">
        <v>45177</v>
      </c>
      <c r="C57" t="str">
        <v>0920220290</v>
      </c>
      <c r="D57" t="str">
        <v>Nirwana petshop</v>
      </c>
      <c r="F57" t="str">
        <v>Jl.Raya BNR</v>
      </c>
      <c r="G57" t="str">
        <v>Mulyaharja</v>
      </c>
      <c r="H57" t="str">
        <v>Bogor Selatan</v>
      </c>
      <c r="I57" t="str">
        <v xml:space="preserve">Kota Bogor </v>
      </c>
      <c r="J57" t="str">
        <v>Jawa barat</v>
      </c>
      <c r="K57">
        <v>81288089581</v>
      </c>
      <c r="L57" t="str">
        <v>Publik</v>
      </c>
      <c r="M57" t="str">
        <v>Agus Tiarman</v>
      </c>
      <c r="N57" t="str">
        <v>non aktif</v>
      </c>
      <c r="BN57">
        <v>8</v>
      </c>
      <c r="BP57" t="str">
        <v>Penempatan</v>
      </c>
      <c r="BQ57">
        <v>10</v>
      </c>
      <c r="BS57" t="str">
        <v xml:space="preserve">kosong </v>
      </c>
      <c r="BT57">
        <v>23</v>
      </c>
      <c r="BV57" t="str">
        <v>kosong</v>
      </c>
      <c r="BW57">
        <v>23</v>
      </c>
      <c r="BY57" t="str">
        <v>kosong</v>
      </c>
      <c r="BZ57">
        <v>5</v>
      </c>
      <c r="CB57" t="str">
        <v>kosong</v>
      </c>
      <c r="CC57">
        <v>23</v>
      </c>
      <c r="CE57" t="str">
        <v>kosong</v>
      </c>
    </row>
    <row r="58">
      <c r="A58">
        <v>27</v>
      </c>
      <c r="B58" s="1">
        <v>45177</v>
      </c>
      <c r="C58" t="str">
        <v>0920220292</v>
      </c>
      <c r="D58" t="str">
        <v>Ibu Ratih Frozen food</v>
      </c>
      <c r="F58" t="str">
        <v>Jl.Raya BNR</v>
      </c>
      <c r="G58" t="str">
        <v>Mulyaharja</v>
      </c>
      <c r="H58" t="str">
        <v>Bogor Selatan</v>
      </c>
      <c r="I58" t="str">
        <v xml:space="preserve">Kota Bogor </v>
      </c>
      <c r="J58" t="str">
        <v>Jawa barat</v>
      </c>
      <c r="K58">
        <v>895384241913</v>
      </c>
      <c r="L58" t="str">
        <v>Publik</v>
      </c>
      <c r="M58" t="str">
        <v>Agus Tiarman</v>
      </c>
      <c r="N58" t="str">
        <v>aktif</v>
      </c>
      <c r="BN58">
        <v>8</v>
      </c>
      <c r="BP58" t="str">
        <v>Penempatan</v>
      </c>
      <c r="BQ58">
        <v>10</v>
      </c>
      <c r="BR58">
        <v>5500</v>
      </c>
      <c r="BT58">
        <v>23</v>
      </c>
      <c r="BV58" t="str">
        <v>kosong</v>
      </c>
      <c r="BW58">
        <v>23</v>
      </c>
      <c r="BY58" t="str">
        <v>kosong</v>
      </c>
      <c r="BZ58">
        <v>5</v>
      </c>
      <c r="CB58" t="str">
        <v>kosong</v>
      </c>
      <c r="CQ58" t="str">
        <v>kosong</v>
      </c>
      <c r="CT58" t="str">
        <v>kosong</v>
      </c>
      <c r="CU58">
        <v>16</v>
      </c>
      <c r="CV58">
        <v>9000</v>
      </c>
      <c r="DA58">
        <v>17</v>
      </c>
      <c r="DB58">
        <v>25000</v>
      </c>
      <c r="DG58">
        <v>17</v>
      </c>
      <c r="DH58">
        <v>15000</v>
      </c>
      <c r="DJ58">
        <v>14</v>
      </c>
      <c r="DK58">
        <v>20000</v>
      </c>
      <c r="DM58">
        <v>14</v>
      </c>
      <c r="DN58">
        <v>15000</v>
      </c>
      <c r="DP58">
        <v>12</v>
      </c>
      <c r="DQ58">
        <v>15000</v>
      </c>
      <c r="DS58">
        <v>15</v>
      </c>
      <c r="DT58">
        <v>21000</v>
      </c>
      <c r="DV58">
        <v>15</v>
      </c>
      <c r="DW58">
        <v>33000</v>
      </c>
      <c r="DY58">
        <v>18</v>
      </c>
      <c r="DZ58">
        <v>41500</v>
      </c>
      <c r="EB58">
        <v>16</v>
      </c>
      <c r="EC58">
        <v>10500</v>
      </c>
      <c r="EE58">
        <v>21</v>
      </c>
      <c r="EF58">
        <v>40500</v>
      </c>
      <c r="EH58">
        <v>17</v>
      </c>
      <c r="EI58">
        <v>98000</v>
      </c>
      <c r="EK58">
        <v>16</v>
      </c>
      <c r="EL58">
        <v>27000</v>
      </c>
      <c r="EN58">
        <v>14</v>
      </c>
      <c r="EO58">
        <v>9000</v>
      </c>
    </row>
    <row r="59">
      <c r="A59">
        <v>28</v>
      </c>
      <c r="B59" s="1">
        <v>45177</v>
      </c>
      <c r="C59" t="str">
        <v>0920220293</v>
      </c>
      <c r="D59" t="str">
        <v>RH Barbershop / bokor mas</v>
      </c>
      <c r="F59" t="str">
        <v>Jl.Raya BNR</v>
      </c>
      <c r="G59" t="str">
        <v>Mulyaharja</v>
      </c>
      <c r="H59" t="str">
        <v>Bogor Selatan</v>
      </c>
      <c r="I59" t="str">
        <v xml:space="preserve">Kota Bogor </v>
      </c>
      <c r="J59" t="str">
        <v>Jawa barat</v>
      </c>
      <c r="K59">
        <v>8111626238</v>
      </c>
      <c r="L59" t="str">
        <v>Publik</v>
      </c>
      <c r="M59" t="str">
        <v>Agus Tiarman</v>
      </c>
      <c r="N59" t="str">
        <v>aktif</v>
      </c>
      <c r="BN59">
        <v>8</v>
      </c>
      <c r="BP59" t="str">
        <v>Penempatan</v>
      </c>
      <c r="BQ59">
        <v>10</v>
      </c>
      <c r="BS59" t="str">
        <v>kosong</v>
      </c>
      <c r="BT59">
        <v>23</v>
      </c>
      <c r="BU59">
        <v>44100</v>
      </c>
      <c r="BW59">
        <v>11</v>
      </c>
      <c r="BX59">
        <v>10000</v>
      </c>
      <c r="BZ59">
        <v>15</v>
      </c>
      <c r="CA59">
        <v>2500</v>
      </c>
      <c r="CC59">
        <v>22</v>
      </c>
      <c r="CD59">
        <v>10000</v>
      </c>
      <c r="CL59">
        <v>21</v>
      </c>
      <c r="CM59">
        <v>3000</v>
      </c>
      <c r="CO59">
        <v>19</v>
      </c>
      <c r="CP59">
        <v>46000</v>
      </c>
      <c r="CR59">
        <v>16</v>
      </c>
      <c r="CS59">
        <v>40000</v>
      </c>
      <c r="CU59">
        <v>16</v>
      </c>
      <c r="CV59">
        <v>19000</v>
      </c>
      <c r="CX59">
        <v>17</v>
      </c>
      <c r="CY59">
        <v>9000</v>
      </c>
      <c r="DA59">
        <v>17</v>
      </c>
      <c r="DB59">
        <v>9000</v>
      </c>
      <c r="DD59">
        <v>18</v>
      </c>
      <c r="DE59">
        <v>4000</v>
      </c>
      <c r="DG59">
        <v>17</v>
      </c>
      <c r="DH59">
        <v>8000</v>
      </c>
      <c r="DJ59">
        <v>14</v>
      </c>
      <c r="DK59">
        <v>5000</v>
      </c>
      <c r="DM59">
        <v>12</v>
      </c>
      <c r="DO59" t="str">
        <v>kosong</v>
      </c>
      <c r="DP59">
        <v>12</v>
      </c>
      <c r="DQ59">
        <v>11000</v>
      </c>
      <c r="DS59">
        <v>15</v>
      </c>
      <c r="DT59">
        <v>22000</v>
      </c>
      <c r="DV59">
        <v>15</v>
      </c>
      <c r="DW59">
        <v>22000</v>
      </c>
      <c r="DY59">
        <v>19</v>
      </c>
      <c r="DZ59">
        <v>19000</v>
      </c>
      <c r="EB59">
        <v>17</v>
      </c>
      <c r="EC59">
        <v>2500</v>
      </c>
      <c r="EE59">
        <v>21</v>
      </c>
      <c r="EF59">
        <v>7000</v>
      </c>
      <c r="EJ59" t="str">
        <v>kosong</v>
      </c>
      <c r="EK59">
        <v>16</v>
      </c>
      <c r="EL59">
        <v>8500</v>
      </c>
      <c r="EN59">
        <v>14</v>
      </c>
      <c r="EO59">
        <v>8000</v>
      </c>
    </row>
    <row r="60">
      <c r="A60">
        <v>29</v>
      </c>
      <c r="B60" s="1">
        <v>45177</v>
      </c>
      <c r="C60" t="str">
        <v>0920220294</v>
      </c>
      <c r="D60" t="str">
        <v>J"Laundress / Toko Berkah Maju</v>
      </c>
      <c r="F60" t="str">
        <v>Jl.Raya BNR Cipinang Gading</v>
      </c>
      <c r="G60" t="str">
        <v>Mulyaharja</v>
      </c>
      <c r="H60" t="str">
        <v>Bogor Selatan</v>
      </c>
      <c r="I60" t="str">
        <v>Bogor Kota</v>
      </c>
      <c r="J60" t="str">
        <v>Jawa barat</v>
      </c>
      <c r="L60" t="str">
        <v>Publik</v>
      </c>
      <c r="M60" t="str">
        <v>Agus Tiarman</v>
      </c>
      <c r="N60" t="str">
        <v>aktif</v>
      </c>
      <c r="BN60">
        <v>8</v>
      </c>
      <c r="BP60" t="str">
        <v>Penempatan</v>
      </c>
      <c r="BQ60">
        <v>10</v>
      </c>
      <c r="BS60" t="str">
        <v>kosong</v>
      </c>
      <c r="BT60">
        <v>23</v>
      </c>
      <c r="BV60" t="str">
        <v>kosong</v>
      </c>
      <c r="BW60">
        <v>23</v>
      </c>
      <c r="BY60" t="str">
        <v>kosong</v>
      </c>
      <c r="CB60" t="str">
        <v>ditarik</v>
      </c>
      <c r="DP60">
        <v>12</v>
      </c>
      <c r="DQ60">
        <v>19000</v>
      </c>
      <c r="DS60">
        <v>15</v>
      </c>
      <c r="DT60">
        <v>59000</v>
      </c>
      <c r="DV60">
        <v>15</v>
      </c>
      <c r="DW60">
        <v>47000</v>
      </c>
      <c r="DY60">
        <v>18</v>
      </c>
      <c r="DZ60">
        <v>128000</v>
      </c>
      <c r="EB60">
        <v>16</v>
      </c>
      <c r="EC60">
        <v>89000</v>
      </c>
      <c r="EE60">
        <v>21</v>
      </c>
      <c r="EF60">
        <v>92000</v>
      </c>
      <c r="EH60">
        <v>17</v>
      </c>
      <c r="EI60">
        <v>92000</v>
      </c>
      <c r="EK60">
        <v>16</v>
      </c>
      <c r="EL60">
        <v>68000</v>
      </c>
      <c r="EN60">
        <v>14</v>
      </c>
      <c r="EO60">
        <v>70500</v>
      </c>
    </row>
    <row r="61">
      <c r="A61">
        <v>92</v>
      </c>
      <c r="B61" s="1">
        <v>45177</v>
      </c>
      <c r="C61" t="str">
        <v>0920220295</v>
      </c>
      <c r="D61" t="str">
        <v>Marty Mart minimart</v>
      </c>
      <c r="F61" t="str">
        <v>Jl.Raya BNR</v>
      </c>
      <c r="G61" t="str">
        <v>Mulyaharja</v>
      </c>
      <c r="H61" t="str">
        <v>Bogor Selatan</v>
      </c>
      <c r="I61" t="str">
        <v xml:space="preserve">Kota Bogor </v>
      </c>
      <c r="J61" t="str">
        <v>Jawa barat</v>
      </c>
      <c r="K61">
        <v>81389201617</v>
      </c>
      <c r="L61" t="str">
        <v>Publik</v>
      </c>
      <c r="M61" t="str">
        <v>Agus Tiarman</v>
      </c>
      <c r="N61" t="str">
        <v>non aktif</v>
      </c>
      <c r="BN61">
        <v>8</v>
      </c>
      <c r="BP61" t="str">
        <v>Penempatan</v>
      </c>
      <c r="BQ61">
        <v>10</v>
      </c>
      <c r="BS61" t="str">
        <v>kosong</v>
      </c>
      <c r="BT61">
        <v>23</v>
      </c>
      <c r="BV61" t="str">
        <v>kosong</v>
      </c>
      <c r="BW61">
        <v>23</v>
      </c>
      <c r="BY61" t="str">
        <v>kosong</v>
      </c>
      <c r="CC61">
        <v>22</v>
      </c>
      <c r="CD61">
        <v>2500</v>
      </c>
    </row>
    <row r="62">
      <c r="A62">
        <v>30</v>
      </c>
      <c r="B62" s="1">
        <v>45769</v>
      </c>
      <c r="C62" t="str">
        <v>0920220296</v>
      </c>
      <c r="D62" t="str">
        <v>Delio TK Al Muhajirin / Warung Madura Suka Makmur jaya 4</v>
      </c>
      <c r="F62" t="str">
        <v>Jl. Sawah Baru Masjid Al Amin</v>
      </c>
      <c r="G62" t="str">
        <v>Laladon</v>
      </c>
      <c r="H62" t="str">
        <v>Ciomas</v>
      </c>
      <c r="I62" t="str">
        <v>Kab Bogor</v>
      </c>
      <c r="J62" t="str">
        <v>Jawa barat</v>
      </c>
      <c r="K62" t="str">
        <v>0823 32387599</v>
      </c>
      <c r="L62" t="str">
        <v xml:space="preserve">Home </v>
      </c>
      <c r="M62" t="str">
        <v>Firdaus</v>
      </c>
      <c r="N62" t="str">
        <v>aktif</v>
      </c>
      <c r="BN62">
        <v>8</v>
      </c>
      <c r="BP62" t="str">
        <v>Penempatan</v>
      </c>
      <c r="BQ62">
        <v>27</v>
      </c>
      <c r="BS62" t="str">
        <v>kosong</v>
      </c>
      <c r="BT62">
        <v>10</v>
      </c>
      <c r="BV62" t="str">
        <v>kosong</v>
      </c>
      <c r="BW62">
        <v>22</v>
      </c>
      <c r="BX62">
        <v>155000</v>
      </c>
      <c r="BZ62">
        <v>18</v>
      </c>
      <c r="CA62">
        <v>72000</v>
      </c>
      <c r="CF62">
        <v>31</v>
      </c>
      <c r="CG62">
        <v>100000</v>
      </c>
      <c r="CL62">
        <v>17</v>
      </c>
      <c r="CM62">
        <v>692000</v>
      </c>
      <c r="CQ62" t="str">
        <v>kosong</v>
      </c>
      <c r="DV62">
        <v>8</v>
      </c>
      <c r="DW62">
        <v>3500</v>
      </c>
      <c r="DY62">
        <v>10</v>
      </c>
      <c r="DZ62">
        <v>12000</v>
      </c>
      <c r="EB62">
        <v>8</v>
      </c>
      <c r="ED62" t="str">
        <v>kosong</v>
      </c>
      <c r="EE62">
        <v>4</v>
      </c>
      <c r="EG62" t="str">
        <v>kosong</v>
      </c>
      <c r="EH62">
        <v>4</v>
      </c>
      <c r="EI62">
        <v>16000</v>
      </c>
      <c r="EN62">
        <v>6</v>
      </c>
      <c r="EO62">
        <v>4000</v>
      </c>
      <c r="EQ62">
        <v>5</v>
      </c>
      <c r="ES62" t="str">
        <v>kosong</v>
      </c>
    </row>
    <row r="63">
      <c r="A63">
        <v>31</v>
      </c>
      <c r="B63" s="1">
        <v>45182</v>
      </c>
      <c r="C63" t="str">
        <v>0920220297</v>
      </c>
      <c r="D63" t="str">
        <v>MD Fotocopy (stationary)</v>
      </c>
      <c r="F63" t="str">
        <v>Jl. Rawahaja (deket smpn 14)</v>
      </c>
      <c r="G63" t="str">
        <v>Situ gede</v>
      </c>
      <c r="H63" t="str">
        <v>Bogor Barat</v>
      </c>
      <c r="I63" t="str">
        <v xml:space="preserve">Kota Bogor </v>
      </c>
      <c r="J63" t="str">
        <v>Jawa barat</v>
      </c>
      <c r="K63" t="str">
        <v>821 3441 9188</v>
      </c>
      <c r="L63" t="str">
        <v>Publik</v>
      </c>
      <c r="M63" t="str">
        <v>Agus Tiarman</v>
      </c>
      <c r="N63" t="str">
        <v>aktif</v>
      </c>
      <c r="BN63">
        <v>13</v>
      </c>
      <c r="BP63" t="str">
        <v>Penempatan</v>
      </c>
      <c r="BQ63">
        <v>27</v>
      </c>
      <c r="BS63" t="str">
        <v>kosong</v>
      </c>
      <c r="BT63">
        <v>13</v>
      </c>
      <c r="BU63">
        <v>6000</v>
      </c>
      <c r="BW63">
        <v>23</v>
      </c>
      <c r="BY63" t="str">
        <v>kosong</v>
      </c>
      <c r="BZ63">
        <v>19</v>
      </c>
      <c r="CA63">
        <v>7000</v>
      </c>
      <c r="CF63">
        <v>20</v>
      </c>
      <c r="CG63">
        <v>10000</v>
      </c>
      <c r="CL63">
        <v>16</v>
      </c>
      <c r="CM63">
        <v>3500</v>
      </c>
      <c r="CO63">
        <v>10</v>
      </c>
      <c r="CP63">
        <v>16000</v>
      </c>
      <c r="CR63">
        <v>10</v>
      </c>
      <c r="CS63">
        <v>27500</v>
      </c>
      <c r="CU63">
        <v>9</v>
      </c>
      <c r="CV63">
        <v>4000</v>
      </c>
      <c r="CX63">
        <v>11</v>
      </c>
      <c r="CY63">
        <v>11000</v>
      </c>
      <c r="DB63" t="str">
        <v>kosong</v>
      </c>
      <c r="DD63">
        <v>13</v>
      </c>
      <c r="DE63">
        <v>27000</v>
      </c>
      <c r="DG63">
        <v>11</v>
      </c>
      <c r="DH63">
        <v>2000</v>
      </c>
      <c r="DJ63">
        <v>9</v>
      </c>
      <c r="DK63">
        <v>14000</v>
      </c>
      <c r="DM63">
        <v>11</v>
      </c>
      <c r="DN63">
        <v>11000</v>
      </c>
      <c r="DP63">
        <v>10</v>
      </c>
      <c r="DQ63">
        <v>8000</v>
      </c>
      <c r="DS63">
        <v>16</v>
      </c>
      <c r="DT63">
        <v>9000</v>
      </c>
      <c r="DV63">
        <v>13</v>
      </c>
      <c r="DW63">
        <v>6000</v>
      </c>
      <c r="DY63">
        <v>13</v>
      </c>
      <c r="DZ63">
        <v>4000</v>
      </c>
      <c r="EB63">
        <v>14</v>
      </c>
      <c r="EC63">
        <v>10000</v>
      </c>
      <c r="EE63">
        <v>11</v>
      </c>
      <c r="EF63">
        <v>15000</v>
      </c>
      <c r="EH63">
        <v>12</v>
      </c>
      <c r="EJ63" t="str">
        <v>kosong</v>
      </c>
      <c r="EN63">
        <v>10</v>
      </c>
      <c r="EO63">
        <v>5000</v>
      </c>
    </row>
    <row r="64">
      <c r="A64">
        <v>32</v>
      </c>
      <c r="B64" s="1">
        <v>45182</v>
      </c>
      <c r="C64" t="str">
        <v>0920220298</v>
      </c>
      <c r="D64" t="str">
        <v>Warung sayur Berkah Sadaya cifor</v>
      </c>
      <c r="F64" t="str">
        <v>Jl. Rawahaja (deket masjid Baiturrahim)</v>
      </c>
      <c r="G64" t="str">
        <v>Situ gede</v>
      </c>
      <c r="H64" t="str">
        <v>Bogor Barat</v>
      </c>
      <c r="I64" t="str">
        <v xml:space="preserve">Kota Bogor </v>
      </c>
      <c r="J64" t="str">
        <v>Jawa barat</v>
      </c>
      <c r="K64" t="str">
        <v>857 8049 2706</v>
      </c>
      <c r="L64" t="str">
        <v>Publik</v>
      </c>
      <c r="M64" t="str">
        <v>Agus Tiarman</v>
      </c>
      <c r="N64" t="str">
        <v>aktif</v>
      </c>
      <c r="BN64">
        <v>13</v>
      </c>
      <c r="BP64" t="str">
        <v>Penempatan</v>
      </c>
      <c r="BQ64">
        <v>11</v>
      </c>
      <c r="BR64">
        <v>30000</v>
      </c>
      <c r="BW64">
        <v>12</v>
      </c>
      <c r="BX64">
        <v>16000</v>
      </c>
      <c r="BZ64">
        <v>19</v>
      </c>
      <c r="CA64">
        <v>17000</v>
      </c>
      <c r="CF64">
        <v>20</v>
      </c>
      <c r="CG64">
        <v>30000</v>
      </c>
      <c r="CI64">
        <v>22</v>
      </c>
      <c r="CJ64">
        <v>16000</v>
      </c>
      <c r="CL64">
        <v>16</v>
      </c>
      <c r="CM64">
        <v>17000</v>
      </c>
      <c r="CO64">
        <v>10</v>
      </c>
      <c r="CP64">
        <v>9000</v>
      </c>
      <c r="CR64">
        <v>10</v>
      </c>
      <c r="CS64">
        <v>34000</v>
      </c>
      <c r="CU64">
        <v>9</v>
      </c>
      <c r="CV64">
        <v>9000</v>
      </c>
      <c r="CX64">
        <v>11</v>
      </c>
      <c r="CY64">
        <v>32000</v>
      </c>
      <c r="DA64">
        <v>15</v>
      </c>
      <c r="DB64">
        <v>7000</v>
      </c>
      <c r="DD64">
        <v>13</v>
      </c>
      <c r="DE64">
        <v>10000</v>
      </c>
      <c r="DG64">
        <v>11</v>
      </c>
      <c r="DH64">
        <v>12000</v>
      </c>
      <c r="DJ64">
        <v>9</v>
      </c>
      <c r="DK64">
        <v>11000</v>
      </c>
      <c r="DM64">
        <v>11</v>
      </c>
      <c r="DN64">
        <v>16000</v>
      </c>
      <c r="DP64">
        <v>10</v>
      </c>
      <c r="DQ64">
        <v>10500</v>
      </c>
      <c r="DS64">
        <v>16</v>
      </c>
      <c r="DT64">
        <v>20000</v>
      </c>
      <c r="DV64">
        <v>13</v>
      </c>
      <c r="DW64">
        <v>11000</v>
      </c>
      <c r="DY64">
        <v>13</v>
      </c>
      <c r="DZ64">
        <v>11000</v>
      </c>
      <c r="EB64">
        <v>14</v>
      </c>
      <c r="EC64">
        <v>10000</v>
      </c>
      <c r="EE64">
        <v>11</v>
      </c>
      <c r="EF64">
        <v>7500</v>
      </c>
      <c r="EH64">
        <v>12</v>
      </c>
      <c r="EI64">
        <v>20000</v>
      </c>
      <c r="EK64">
        <v>10</v>
      </c>
      <c r="EL64">
        <v>25000</v>
      </c>
      <c r="EN64">
        <v>10</v>
      </c>
      <c r="EO64">
        <v>10000</v>
      </c>
    </row>
    <row r="65">
      <c r="A65">
        <v>42</v>
      </c>
      <c r="B65" s="1">
        <v>45184</v>
      </c>
      <c r="C65" t="str">
        <v>0920220299</v>
      </c>
      <c r="D65" t="str">
        <v xml:space="preserve">Toko Linda Oleh-oleh Bogor </v>
      </c>
      <c r="F65" t="str">
        <v>Jl.Cifor Raya</v>
      </c>
      <c r="G65" t="str">
        <v>Bubulak</v>
      </c>
      <c r="H65" t="str">
        <v>Bogor Barat</v>
      </c>
      <c r="I65" t="str">
        <v xml:space="preserve">Kota Bogor </v>
      </c>
      <c r="J65" t="str">
        <v>Jawa barat</v>
      </c>
      <c r="K65">
        <v>81557335925</v>
      </c>
      <c r="L65" t="str">
        <v>Publik</v>
      </c>
      <c r="M65" t="str">
        <v>Agus Tiarman</v>
      </c>
      <c r="N65" t="str">
        <v>non aktif</v>
      </c>
      <c r="BN65">
        <v>15</v>
      </c>
      <c r="BP65" t="str">
        <v>Penempatan</v>
      </c>
      <c r="BQ65">
        <v>11</v>
      </c>
      <c r="BR65">
        <v>26000</v>
      </c>
      <c r="BT65">
        <v>15</v>
      </c>
      <c r="BU65">
        <v>64000</v>
      </c>
      <c r="BW65">
        <v>12</v>
      </c>
      <c r="BX65">
        <v>10000</v>
      </c>
      <c r="BZ65">
        <v>12</v>
      </c>
      <c r="CA65">
        <v>9000</v>
      </c>
      <c r="CC65">
        <v>21</v>
      </c>
      <c r="CD65">
        <v>23000</v>
      </c>
      <c r="CF65">
        <v>8</v>
      </c>
      <c r="CG65">
        <v>13000</v>
      </c>
      <c r="CI65">
        <v>22</v>
      </c>
      <c r="CJ65">
        <v>54500</v>
      </c>
      <c r="CL65">
        <v>15</v>
      </c>
      <c r="CM65">
        <v>35500</v>
      </c>
      <c r="CO65">
        <v>14</v>
      </c>
      <c r="CP65">
        <v>41000</v>
      </c>
      <c r="CR65">
        <v>12</v>
      </c>
      <c r="CS65">
        <v>13000</v>
      </c>
      <c r="CU65">
        <v>12</v>
      </c>
      <c r="CV65">
        <v>36000</v>
      </c>
      <c r="CX65">
        <v>11</v>
      </c>
      <c r="CY65">
        <v>41000</v>
      </c>
      <c r="DA65">
        <v>14</v>
      </c>
      <c r="DB65">
        <v>91000</v>
      </c>
      <c r="DD65">
        <v>13</v>
      </c>
      <c r="DE65">
        <v>48000</v>
      </c>
      <c r="DG65">
        <v>9</v>
      </c>
      <c r="DH65">
        <v>35000</v>
      </c>
      <c r="DJ65">
        <v>9</v>
      </c>
      <c r="DK65">
        <v>74000</v>
      </c>
      <c r="DM65">
        <v>11</v>
      </c>
      <c r="DN65">
        <v>49000</v>
      </c>
      <c r="DR65" t="str">
        <v>kosong</v>
      </c>
      <c r="DS65">
        <v>16</v>
      </c>
      <c r="DU65" t="str">
        <v>kosong</v>
      </c>
      <c r="DV65">
        <v>13</v>
      </c>
      <c r="DX65" t="str">
        <v>kosong</v>
      </c>
      <c r="DY65">
        <v>13</v>
      </c>
      <c r="EA65" t="str">
        <v>kosong</v>
      </c>
      <c r="ED65" t="str">
        <v>kosong</v>
      </c>
      <c r="EG65" t="str">
        <v>kosong</v>
      </c>
      <c r="EH65">
        <v>12</v>
      </c>
      <c r="EJ65" t="str">
        <v>ditarik</v>
      </c>
    </row>
    <row r="66">
      <c r="A66">
        <v>97</v>
      </c>
      <c r="B66" s="1">
        <v>45184</v>
      </c>
      <c r="C66" t="str">
        <v>0920220300</v>
      </c>
      <c r="D66" t="str">
        <v>Otopia salon mobil</v>
      </c>
      <c r="F66" t="str">
        <v>Jl.Cifor Raya</v>
      </c>
      <c r="G66" t="str">
        <v>Bubulak</v>
      </c>
      <c r="H66" t="str">
        <v>Bogor Barat</v>
      </c>
      <c r="I66" t="str">
        <v xml:space="preserve">Kota Bogor </v>
      </c>
      <c r="J66" t="str">
        <v>Jawa barat</v>
      </c>
      <c r="K66">
        <v>83822405311</v>
      </c>
      <c r="L66" t="str">
        <v>Publik</v>
      </c>
      <c r="M66" t="str">
        <v>Agus Tiarman</v>
      </c>
      <c r="N66" t="str">
        <v>non aktif</v>
      </c>
      <c r="BN66">
        <v>15</v>
      </c>
      <c r="BP66" t="str">
        <v>Penempatan</v>
      </c>
      <c r="BQ66">
        <v>27</v>
      </c>
      <c r="BS66" t="str">
        <v>kosong</v>
      </c>
      <c r="BT66">
        <v>15</v>
      </c>
      <c r="BU66">
        <v>17000</v>
      </c>
      <c r="BW66">
        <v>12</v>
      </c>
      <c r="BX66">
        <v>18000</v>
      </c>
      <c r="BZ66">
        <v>12</v>
      </c>
      <c r="CA66">
        <v>24000</v>
      </c>
    </row>
    <row r="67">
      <c r="A67">
        <v>33</v>
      </c>
      <c r="B67" s="1">
        <v>45184</v>
      </c>
      <c r="C67" t="str">
        <v>0920220301</v>
      </c>
      <c r="D67" t="str">
        <v>Apotik Bunda 3/Toko Anna Kayo</v>
      </c>
      <c r="F67" t="str">
        <v>JL.Raya Laladon</v>
      </c>
      <c r="G67" t="str">
        <v>Laladon</v>
      </c>
      <c r="H67" t="str">
        <v>Ciomas</v>
      </c>
      <c r="I67" t="str">
        <v>Kab Bogor</v>
      </c>
      <c r="J67" t="str">
        <v>Jawa barat</v>
      </c>
      <c r="K67">
        <v>85224403738</v>
      </c>
      <c r="L67" t="str">
        <v>Publik</v>
      </c>
      <c r="M67" t="str">
        <v>Agus Tiarman</v>
      </c>
      <c r="N67" t="str">
        <v>non aktif</v>
      </c>
      <c r="BN67">
        <v>15</v>
      </c>
      <c r="BP67" t="str">
        <v>Penempatan</v>
      </c>
      <c r="BQ67">
        <v>12</v>
      </c>
      <c r="BR67">
        <v>5000</v>
      </c>
      <c r="BT67">
        <v>13</v>
      </c>
      <c r="BU67">
        <v>11000</v>
      </c>
      <c r="BW67">
        <v>13</v>
      </c>
      <c r="BX67">
        <v>13000</v>
      </c>
      <c r="BZ67">
        <v>12</v>
      </c>
      <c r="CA67">
        <v>4500</v>
      </c>
      <c r="CF67">
        <v>6</v>
      </c>
      <c r="CG67">
        <v>8000</v>
      </c>
      <c r="CI67">
        <v>30</v>
      </c>
      <c r="CJ67">
        <v>24000</v>
      </c>
      <c r="CN67" t="str">
        <v>kosong</v>
      </c>
      <c r="CQ67" t="str">
        <v>ditarik</v>
      </c>
      <c r="DY67">
        <v>11</v>
      </c>
      <c r="DZ67">
        <v>65000</v>
      </c>
      <c r="EB67">
        <v>10</v>
      </c>
      <c r="ED67" t="str">
        <v>kosong</v>
      </c>
    </row>
    <row r="68">
      <c r="A68">
        <v>34</v>
      </c>
      <c r="B68" s="1">
        <v>45184</v>
      </c>
      <c r="C68" t="str">
        <v>0920220302</v>
      </c>
      <c r="D68" t="str">
        <v>Toko Afa toys (mainan)</v>
      </c>
      <c r="F68" t="str">
        <v xml:space="preserve">Jl.Syarifudin ,Sindang Barang </v>
      </c>
      <c r="G68" t="str">
        <v>Sindang Barang</v>
      </c>
      <c r="H68" t="str">
        <v>Bogor Barat</v>
      </c>
      <c r="I68" t="str">
        <v xml:space="preserve">Kota Bogor </v>
      </c>
      <c r="J68" t="str">
        <v>Jawa barat</v>
      </c>
      <c r="K68">
        <v>85888507506</v>
      </c>
      <c r="L68" t="str">
        <v>Publik</v>
      </c>
      <c r="M68" t="str">
        <v>Agus Tiarman</v>
      </c>
      <c r="N68" t="str">
        <v>aktif</v>
      </c>
      <c r="BN68">
        <v>15</v>
      </c>
      <c r="BP68" t="str">
        <v>Penempatan</v>
      </c>
      <c r="BQ68">
        <v>12</v>
      </c>
      <c r="BR68">
        <v>32000</v>
      </c>
      <c r="BT68">
        <v>15</v>
      </c>
      <c r="BU68">
        <v>36000</v>
      </c>
      <c r="BW68">
        <v>12</v>
      </c>
      <c r="BX68">
        <v>12000</v>
      </c>
      <c r="BZ68">
        <v>10</v>
      </c>
      <c r="CA68">
        <v>21000</v>
      </c>
      <c r="CC68">
        <v>28</v>
      </c>
      <c r="CD68">
        <v>41000</v>
      </c>
      <c r="CF68">
        <v>20</v>
      </c>
      <c r="CG68">
        <v>12000</v>
      </c>
      <c r="CI68">
        <v>19</v>
      </c>
      <c r="CJ68">
        <v>15500</v>
      </c>
      <c r="CL68">
        <v>15</v>
      </c>
      <c r="CM68">
        <v>33500</v>
      </c>
      <c r="CO68">
        <v>27</v>
      </c>
      <c r="CP68">
        <v>27000</v>
      </c>
      <c r="CR68">
        <v>17</v>
      </c>
      <c r="CS68">
        <v>12000</v>
      </c>
      <c r="CU68">
        <v>14</v>
      </c>
      <c r="CV68">
        <v>16000</v>
      </c>
      <c r="CX68">
        <v>19</v>
      </c>
      <c r="CY68">
        <v>19000</v>
      </c>
      <c r="DA68">
        <v>21</v>
      </c>
      <c r="DB68">
        <v>9000</v>
      </c>
      <c r="DJ68">
        <v>6</v>
      </c>
      <c r="DK68">
        <v>16000</v>
      </c>
      <c r="DP68">
        <v>20</v>
      </c>
      <c r="DR68" t="str">
        <v>kosong</v>
      </c>
      <c r="DS68">
        <v>8</v>
      </c>
      <c r="DT68">
        <v>14000</v>
      </c>
      <c r="DV68">
        <v>7</v>
      </c>
      <c r="DX68" t="str">
        <v>kosong</v>
      </c>
      <c r="DY68" t="str">
        <v>28  23</v>
      </c>
      <c r="DZ68">
        <v>16000</v>
      </c>
      <c r="EA68" t="str">
        <v>kosong-23</v>
      </c>
      <c r="EB68">
        <v>18</v>
      </c>
      <c r="EC68">
        <v>3500</v>
      </c>
      <c r="EE68">
        <v>25</v>
      </c>
      <c r="EF68">
        <v>10500</v>
      </c>
      <c r="EH68">
        <v>24</v>
      </c>
      <c r="EI68">
        <v>5000</v>
      </c>
      <c r="EN68">
        <v>27</v>
      </c>
      <c r="EO68">
        <v>11000</v>
      </c>
    </row>
    <row r="69">
      <c r="A69">
        <v>100</v>
      </c>
      <c r="B69" s="1">
        <v>45184</v>
      </c>
      <c r="C69" t="str">
        <v>0920220303</v>
      </c>
      <c r="D69" t="str">
        <v>Gendis Foto copy/ kupat tahu doclang</v>
      </c>
      <c r="F69" t="str">
        <v>Jl.Syarifudin ,Sindang Barang (deket RM Nurbaya)/ jl veteran</v>
      </c>
      <c r="G69" t="str">
        <v>Sindang Barang</v>
      </c>
      <c r="H69" t="str">
        <v>Bogor Barat</v>
      </c>
      <c r="I69" t="str">
        <v xml:space="preserve">Kota Bogor </v>
      </c>
      <c r="J69" t="str">
        <v>Jawa barat</v>
      </c>
      <c r="K69">
        <v>85885894943</v>
      </c>
      <c r="L69" t="str">
        <v>Publik</v>
      </c>
      <c r="M69" t="str">
        <v>Agus Tiarman</v>
      </c>
      <c r="N69" t="str">
        <v>aktif</v>
      </c>
      <c r="BN69">
        <v>15</v>
      </c>
      <c r="BP69" t="str">
        <v>Penempatan</v>
      </c>
      <c r="BQ69">
        <v>27</v>
      </c>
      <c r="BS69" t="str">
        <v>kosong</v>
      </c>
      <c r="BT69">
        <v>23</v>
      </c>
      <c r="BV69" t="str">
        <v>kosong</v>
      </c>
      <c r="BW69">
        <v>23</v>
      </c>
      <c r="BY69" t="str">
        <v>kosong</v>
      </c>
      <c r="BZ69">
        <v>10</v>
      </c>
      <c r="CA69">
        <v>6500</v>
      </c>
      <c r="CC69">
        <v>2</v>
      </c>
      <c r="CD69">
        <v>8000</v>
      </c>
      <c r="CF69">
        <v>5</v>
      </c>
      <c r="CG69">
        <v>13500</v>
      </c>
      <c r="CI69">
        <v>18</v>
      </c>
      <c r="CJ69">
        <v>5500</v>
      </c>
      <c r="CL69">
        <v>15</v>
      </c>
      <c r="CM69">
        <v>10000</v>
      </c>
      <c r="CQ69" t="str">
        <v>kosong</v>
      </c>
      <c r="CT69" t="str">
        <v>kosong</v>
      </c>
      <c r="CW69" t="str">
        <v>kosong</v>
      </c>
      <c r="EN69" t="str">
        <v>27  25</v>
      </c>
      <c r="EO69">
        <v>17000</v>
      </c>
      <c r="EP69" t="str">
        <v>penempatan</v>
      </c>
    </row>
    <row r="70">
      <c r="A70">
        <v>101</v>
      </c>
      <c r="B70" s="1">
        <v>45184</v>
      </c>
      <c r="C70" t="str">
        <v>0920220304</v>
      </c>
      <c r="D70" t="str">
        <v xml:space="preserve">Toko sembako Mutiara </v>
      </c>
      <c r="F70" t="str">
        <v xml:space="preserve">Jl.Syarifudin ,Sindang Barang </v>
      </c>
      <c r="G70" t="str">
        <v>Sindang Barang</v>
      </c>
      <c r="H70" t="str">
        <v>Bogor Barat</v>
      </c>
      <c r="I70" t="str">
        <v xml:space="preserve">Kota Bogor </v>
      </c>
      <c r="J70" t="str">
        <v>Jawa barat</v>
      </c>
      <c r="K70">
        <v>81381356759</v>
      </c>
      <c r="L70" t="str">
        <v>Publik</v>
      </c>
      <c r="M70" t="str">
        <v>Agus Tiarman</v>
      </c>
      <c r="N70" t="str">
        <v>non aktif</v>
      </c>
      <c r="BN70">
        <v>15</v>
      </c>
      <c r="BP70" t="str">
        <v>Penempatan</v>
      </c>
      <c r="BQ70">
        <v>12</v>
      </c>
      <c r="BR70">
        <v>5000</v>
      </c>
      <c r="BT70">
        <v>23</v>
      </c>
      <c r="BV70" t="str">
        <v>kosong</v>
      </c>
      <c r="BW70">
        <v>23</v>
      </c>
      <c r="BY70" t="str">
        <v>kosong</v>
      </c>
      <c r="BZ70">
        <v>10</v>
      </c>
      <c r="CB70" t="str">
        <v>kosong</v>
      </c>
      <c r="CT70" t="str">
        <v>ngga ketemu</v>
      </c>
    </row>
    <row r="71">
      <c r="A71">
        <v>102</v>
      </c>
      <c r="B71" s="1">
        <v>45184</v>
      </c>
      <c r="C71" t="str">
        <v>0920220305</v>
      </c>
      <c r="D71" t="str">
        <v>Nadia Cell</v>
      </c>
      <c r="F71" t="str">
        <v>Jl.Cifor Raya</v>
      </c>
      <c r="G71" t="str">
        <v>Bubulak</v>
      </c>
      <c r="H71" t="str">
        <v>Bogor Barat</v>
      </c>
      <c r="I71" t="str">
        <v xml:space="preserve">Kota Bogor </v>
      </c>
      <c r="J71" t="str">
        <v>Jawa barat</v>
      </c>
      <c r="K71">
        <v>895352155655</v>
      </c>
      <c r="L71" t="str">
        <v>Publik</v>
      </c>
      <c r="M71" t="str">
        <v>Agus Tiarman</v>
      </c>
      <c r="N71" t="str">
        <v>non aktif</v>
      </c>
      <c r="BN71">
        <v>15</v>
      </c>
      <c r="BP71" t="str">
        <v>Penempatan</v>
      </c>
      <c r="BQ71">
        <v>27</v>
      </c>
      <c r="BS71" t="str">
        <v>kosong</v>
      </c>
      <c r="BT71">
        <v>23</v>
      </c>
      <c r="BV71" t="str">
        <v>kosong</v>
      </c>
      <c r="BW71">
        <v>21</v>
      </c>
      <c r="BX71">
        <v>7000</v>
      </c>
      <c r="BZ71">
        <v>19</v>
      </c>
      <c r="CA71">
        <v>5000</v>
      </c>
      <c r="CC71">
        <v>8</v>
      </c>
      <c r="CE71" t="str">
        <v>kosong</v>
      </c>
    </row>
    <row r="72">
      <c r="A72">
        <v>103</v>
      </c>
      <c r="B72" s="1">
        <v>45184</v>
      </c>
      <c r="C72" t="str">
        <v>0920220306</v>
      </c>
      <c r="D72" t="str">
        <v>Quincy /Evlogia cafe</v>
      </c>
      <c r="F72" t="str">
        <v xml:space="preserve">Jl.Lingkar Dramaga </v>
      </c>
      <c r="G72" t="str">
        <v>Dramaga</v>
      </c>
      <c r="H72" t="str">
        <v xml:space="preserve">Dramaga </v>
      </c>
      <c r="I72" t="str">
        <v>Kab Bogor</v>
      </c>
      <c r="J72" t="str">
        <v>Jawa barat</v>
      </c>
      <c r="K72">
        <v>85156594189</v>
      </c>
      <c r="L72" t="str">
        <v>Publik</v>
      </c>
      <c r="M72" t="str">
        <v>Agus Tiarman</v>
      </c>
      <c r="N72" t="str">
        <v>non aktif</v>
      </c>
      <c r="BN72">
        <v>15</v>
      </c>
      <c r="BP72" t="str">
        <v>Penempatan</v>
      </c>
      <c r="BQ72">
        <v>10</v>
      </c>
      <c r="BS72" t="str">
        <v>kosong</v>
      </c>
      <c r="BT72">
        <v>23</v>
      </c>
      <c r="BV72" t="str">
        <v>kosong</v>
      </c>
      <c r="BW72">
        <v>23</v>
      </c>
      <c r="BY72" t="str">
        <v>kosong</v>
      </c>
      <c r="BZ72">
        <v>5</v>
      </c>
      <c r="CB72" t="str">
        <v>kosong</v>
      </c>
      <c r="CT72" t="str">
        <v>sudah ditarik</v>
      </c>
    </row>
    <row r="73">
      <c r="A73">
        <v>104</v>
      </c>
      <c r="B73" s="1">
        <v>45184</v>
      </c>
      <c r="C73" t="str">
        <v>0920220307</v>
      </c>
      <c r="D73" t="str">
        <v>K-One Resto</v>
      </c>
      <c r="F73" t="str">
        <v>Jl.Bababkan Tengah</v>
      </c>
      <c r="G73" t="str">
        <v>Babakan</v>
      </c>
      <c r="H73" t="str">
        <v xml:space="preserve">Dramaga </v>
      </c>
      <c r="I73" t="str">
        <v>Kab Bogor</v>
      </c>
      <c r="J73" t="str">
        <v>Jawa barat</v>
      </c>
      <c r="K73">
        <v>89899001948</v>
      </c>
      <c r="L73" t="str">
        <v>Publik</v>
      </c>
      <c r="M73" t="str">
        <v>Agus Tiarman</v>
      </c>
      <c r="N73" t="str">
        <v>non aktif</v>
      </c>
      <c r="BN73">
        <v>15</v>
      </c>
      <c r="BP73" t="str">
        <v>Penempatan</v>
      </c>
      <c r="BQ73">
        <v>10</v>
      </c>
      <c r="BS73" t="str">
        <v>kosong</v>
      </c>
      <c r="BT73">
        <v>23</v>
      </c>
      <c r="BV73" t="str">
        <v>kosong</v>
      </c>
      <c r="BW73">
        <v>23</v>
      </c>
      <c r="BY73" t="str">
        <v>kosong</v>
      </c>
      <c r="BZ73">
        <v>5</v>
      </c>
      <c r="CB73" t="str">
        <v>kosong</v>
      </c>
      <c r="CC73">
        <v>7</v>
      </c>
      <c r="CD73">
        <v>4500</v>
      </c>
      <c r="CT73" t="str">
        <v>sudah tutup</v>
      </c>
    </row>
    <row r="74">
      <c r="A74">
        <v>44</v>
      </c>
      <c r="B74" s="1">
        <v>45184</v>
      </c>
      <c r="C74" t="str">
        <v>0920220308</v>
      </c>
      <c r="D74" t="str">
        <v>Jack &amp; John's Barbershop</v>
      </c>
      <c r="F74" t="str">
        <v xml:space="preserve">Jl.Lingkar Dramaga </v>
      </c>
      <c r="G74" t="str">
        <v xml:space="preserve">Dramaga </v>
      </c>
      <c r="H74" t="str">
        <v xml:space="preserve">Dramaga </v>
      </c>
      <c r="I74" t="str">
        <v>Kab Bogor</v>
      </c>
      <c r="J74" t="str">
        <v>Jawa barat</v>
      </c>
      <c r="K74">
        <v>86885279095</v>
      </c>
      <c r="L74" t="str">
        <v>Publik</v>
      </c>
      <c r="M74" t="str">
        <v>Agus Tiarman</v>
      </c>
      <c r="N74" t="str">
        <v>non aktif</v>
      </c>
      <c r="BN74">
        <v>15</v>
      </c>
      <c r="BP74" t="str">
        <v>Penempatan</v>
      </c>
      <c r="BQ74">
        <v>19</v>
      </c>
      <c r="BR74">
        <v>6000</v>
      </c>
      <c r="BT74">
        <v>17</v>
      </c>
      <c r="BU74">
        <v>7000</v>
      </c>
      <c r="BW74">
        <v>14</v>
      </c>
      <c r="BX74">
        <v>2000</v>
      </c>
      <c r="BZ74">
        <v>5</v>
      </c>
      <c r="CB74" t="str">
        <v>kosong</v>
      </c>
      <c r="CC74">
        <v>27</v>
      </c>
      <c r="CD74">
        <v>8000</v>
      </c>
      <c r="CF74">
        <v>19</v>
      </c>
      <c r="CG74">
        <v>1500</v>
      </c>
      <c r="CI74">
        <v>24</v>
      </c>
      <c r="CJ74">
        <v>1000</v>
      </c>
      <c r="CL74">
        <v>23</v>
      </c>
      <c r="CM74">
        <v>9000</v>
      </c>
      <c r="CO74">
        <v>24</v>
      </c>
      <c r="CP74">
        <v>3500</v>
      </c>
      <c r="CR74">
        <v>15</v>
      </c>
      <c r="CS74">
        <v>2000</v>
      </c>
      <c r="CU74">
        <v>20</v>
      </c>
      <c r="CV74">
        <v>3000</v>
      </c>
      <c r="CX74">
        <v>20</v>
      </c>
      <c r="CY74">
        <v>3000</v>
      </c>
      <c r="DC74" t="str">
        <v>kosong</v>
      </c>
      <c r="DG74">
        <v>19</v>
      </c>
      <c r="DH74">
        <v>6000</v>
      </c>
      <c r="DJ74">
        <v>17</v>
      </c>
      <c r="DK74">
        <v>3500</v>
      </c>
      <c r="DP74">
        <v>11</v>
      </c>
      <c r="DQ74">
        <v>3000</v>
      </c>
      <c r="DU74" t="str">
        <v>kosong</v>
      </c>
      <c r="DV74">
        <v>6</v>
      </c>
      <c r="DX74" t="str">
        <v>kosong</v>
      </c>
      <c r="DY74">
        <v>4</v>
      </c>
      <c r="EA74" t="str">
        <v>ditarik</v>
      </c>
    </row>
    <row r="75">
      <c r="A75">
        <v>45</v>
      </c>
      <c r="B75" s="1">
        <v>45187</v>
      </c>
      <c r="C75" t="str">
        <v>0920220309</v>
      </c>
      <c r="D75" t="str">
        <v>Planet jaya sparepart</v>
      </c>
      <c r="F75" t="str">
        <v>Jl. cilendek</v>
      </c>
      <c r="G75" t="str">
        <v>Cilendek barat</v>
      </c>
      <c r="H75" t="str">
        <v>Bogor Barat</v>
      </c>
      <c r="I75" t="str">
        <v xml:space="preserve">Kota Bogor </v>
      </c>
      <c r="J75" t="str">
        <v>Jawa barat</v>
      </c>
      <c r="K75" t="str">
        <v>0895 3234 08344</v>
      </c>
      <c r="L75" t="str">
        <v>Publik</v>
      </c>
      <c r="M75" t="str">
        <v>Agus Tiarman</v>
      </c>
      <c r="N75" t="str">
        <v>non aktif</v>
      </c>
      <c r="BN75">
        <v>18</v>
      </c>
      <c r="BP75" t="str">
        <v>Penempatan</v>
      </c>
      <c r="BQ75">
        <v>17</v>
      </c>
      <c r="BR75">
        <v>25000</v>
      </c>
      <c r="BT75">
        <v>23</v>
      </c>
      <c r="BV75" t="str">
        <v>kosong</v>
      </c>
      <c r="BW75">
        <v>23</v>
      </c>
      <c r="BY75" t="str">
        <v>kosong</v>
      </c>
      <c r="BZ75">
        <v>11</v>
      </c>
      <c r="CA75">
        <v>7600</v>
      </c>
      <c r="CC75">
        <v>11</v>
      </c>
      <c r="CE75" t="str">
        <v>kosong</v>
      </c>
      <c r="CL75">
        <v>28</v>
      </c>
      <c r="CM75">
        <v>10500</v>
      </c>
      <c r="CQ75" t="str">
        <v>tutup</v>
      </c>
      <c r="CT75" t="str">
        <v>tutup</v>
      </c>
      <c r="CW75" t="str">
        <v>kosong</v>
      </c>
      <c r="DG75">
        <v>11</v>
      </c>
      <c r="DI75" t="str">
        <v>kosong</v>
      </c>
      <c r="DJ75">
        <v>8</v>
      </c>
      <c r="DL75" t="str">
        <v>tutup</v>
      </c>
      <c r="DR75" t="str">
        <v>ditarik</v>
      </c>
    </row>
    <row r="76">
      <c r="A76">
        <v>107</v>
      </c>
      <c r="B76" s="1">
        <v>45187</v>
      </c>
      <c r="C76" t="str">
        <v>0920220310</v>
      </c>
      <c r="D76" t="str">
        <v>salon mobil Scuto</v>
      </c>
      <c r="F76" t="str">
        <v>Jl. Abdullah bin Nuh</v>
      </c>
      <c r="G76" t="str">
        <v>Semplak</v>
      </c>
      <c r="H76" t="str">
        <v>Bogor Barat</v>
      </c>
      <c r="I76" t="str">
        <v xml:space="preserve">Kota Bogor </v>
      </c>
      <c r="J76" t="str">
        <v>Jawa barat</v>
      </c>
      <c r="K76" t="str">
        <v>0812 3112 2700</v>
      </c>
      <c r="L76" t="str">
        <v>Publik</v>
      </c>
      <c r="M76" t="str">
        <v>Agus Tiarman</v>
      </c>
      <c r="N76" t="str">
        <v>non aktif</v>
      </c>
      <c r="BN76">
        <v>18</v>
      </c>
      <c r="BP76" t="str">
        <v>Penempatan</v>
      </c>
      <c r="BQ76">
        <v>17</v>
      </c>
      <c r="BR76">
        <v>4000</v>
      </c>
      <c r="BT76">
        <v>23</v>
      </c>
      <c r="BV76" t="str">
        <v>kosong</v>
      </c>
      <c r="BW76">
        <v>13</v>
      </c>
      <c r="BX76">
        <v>55000</v>
      </c>
      <c r="BZ76">
        <v>12</v>
      </c>
      <c r="CA76">
        <v>7000</v>
      </c>
      <c r="CC76">
        <v>11</v>
      </c>
      <c r="CE76" t="str">
        <v>kosong</v>
      </c>
      <c r="CF76">
        <v>15</v>
      </c>
      <c r="CG76">
        <v>5000</v>
      </c>
      <c r="CI76">
        <v>26</v>
      </c>
      <c r="CJ76">
        <v>5000</v>
      </c>
      <c r="CL76">
        <v>28</v>
      </c>
      <c r="CM76">
        <v>7000</v>
      </c>
      <c r="CQ76" t="str">
        <v>kosong</v>
      </c>
      <c r="CT76" t="str">
        <v>kosong</v>
      </c>
      <c r="CW76" t="str">
        <v>kosong</v>
      </c>
    </row>
    <row r="77">
      <c r="A77">
        <v>35</v>
      </c>
      <c r="B77" s="1">
        <v>45187</v>
      </c>
      <c r="C77" t="str">
        <v>0920220311</v>
      </c>
      <c r="D77" t="str">
        <v>Toko Sayur Barokah loji / zahra</v>
      </c>
      <c r="F77" t="str">
        <v>Depan Puri Budi Asih</v>
      </c>
      <c r="G77" t="str">
        <v>Loji</v>
      </c>
      <c r="H77" t="str">
        <v>Bogor Barat</v>
      </c>
      <c r="I77" t="str">
        <v xml:space="preserve">Kota Bogor </v>
      </c>
      <c r="J77" t="str">
        <v>Jawa barat</v>
      </c>
      <c r="K77" t="str">
        <v>0878 7024 0873</v>
      </c>
      <c r="L77" t="str">
        <v>Publik</v>
      </c>
      <c r="M77" t="str">
        <v>Agus Tiarman</v>
      </c>
      <c r="N77" t="str">
        <v>non aktif</v>
      </c>
      <c r="BN77">
        <v>18</v>
      </c>
      <c r="BP77" t="str">
        <v>Penempatan</v>
      </c>
      <c r="BQ77">
        <v>18</v>
      </c>
      <c r="BR77">
        <v>10000</v>
      </c>
      <c r="BT77">
        <v>13</v>
      </c>
      <c r="BU77">
        <v>15000</v>
      </c>
      <c r="BZ77">
        <v>5</v>
      </c>
      <c r="CA77">
        <v>2000</v>
      </c>
      <c r="CC77">
        <v>27</v>
      </c>
      <c r="CD77">
        <v>10000</v>
      </c>
      <c r="CL77">
        <v>8</v>
      </c>
      <c r="CM77">
        <v>10000</v>
      </c>
      <c r="CR77">
        <v>10</v>
      </c>
      <c r="CS77">
        <v>34000</v>
      </c>
      <c r="DA77">
        <v>14</v>
      </c>
      <c r="DB77">
        <v>51000</v>
      </c>
      <c r="DG77">
        <v>5</v>
      </c>
      <c r="DH77">
        <v>14000</v>
      </c>
      <c r="DJ77">
        <v>6</v>
      </c>
      <c r="DK77">
        <v>12000</v>
      </c>
      <c r="DM77">
        <v>6</v>
      </c>
      <c r="DN77">
        <v>14000</v>
      </c>
      <c r="DP77">
        <v>3</v>
      </c>
      <c r="DQ77">
        <v>16000</v>
      </c>
      <c r="DS77">
        <v>8</v>
      </c>
      <c r="DT77">
        <v>15500</v>
      </c>
      <c r="DV77">
        <v>6</v>
      </c>
      <c r="DW77">
        <v>2500</v>
      </c>
      <c r="DY77" s="1">
        <v>45947</v>
      </c>
      <c r="EA77" t="str">
        <v>kosong</v>
      </c>
      <c r="EB77">
        <v>15</v>
      </c>
      <c r="EC77">
        <v>7500</v>
      </c>
      <c r="EE77">
        <v>8</v>
      </c>
      <c r="EF77">
        <v>11000</v>
      </c>
      <c r="EJ77" t="str">
        <v>kosong</v>
      </c>
      <c r="EK77">
        <v>2</v>
      </c>
      <c r="EM77" t="str">
        <v>kosong-ditarik</v>
      </c>
    </row>
    <row r="78">
      <c r="A78">
        <v>36</v>
      </c>
      <c r="B78" s="1">
        <v>45187</v>
      </c>
      <c r="C78" t="str">
        <v>0920220312</v>
      </c>
      <c r="D78" t="str">
        <v>Toko kelontong  Ikmal 3</v>
      </c>
      <c r="F78" t="str">
        <v>Jl. cilendek</v>
      </c>
      <c r="G78" t="str">
        <v>Cilendek Timur</v>
      </c>
      <c r="H78" t="str">
        <v>Bogor Barat</v>
      </c>
      <c r="I78" t="str">
        <v xml:space="preserve">Kota Bogor </v>
      </c>
      <c r="J78" t="str">
        <v>Jawa barat</v>
      </c>
      <c r="K78" t="str">
        <v>0821 2727 3401</v>
      </c>
      <c r="L78" t="str">
        <v>Publik</v>
      </c>
      <c r="M78" t="str">
        <v>Agus Tiarman</v>
      </c>
      <c r="N78" t="str">
        <v>aktif</v>
      </c>
      <c r="BN78">
        <v>18</v>
      </c>
      <c r="BP78" t="str">
        <v>Penempatan</v>
      </c>
      <c r="BQ78">
        <v>27</v>
      </c>
      <c r="BS78" t="str">
        <v>kosong</v>
      </c>
      <c r="BT78">
        <v>3</v>
      </c>
      <c r="BU78">
        <v>14000</v>
      </c>
      <c r="BW78">
        <v>13</v>
      </c>
      <c r="BX78">
        <v>121000</v>
      </c>
      <c r="BZ78">
        <v>11</v>
      </c>
      <c r="CA78">
        <v>46000</v>
      </c>
      <c r="CF78">
        <v>15</v>
      </c>
      <c r="CG78">
        <v>201000</v>
      </c>
      <c r="CI78">
        <v>1</v>
      </c>
      <c r="CJ78">
        <v>20000</v>
      </c>
      <c r="CL78">
        <v>3</v>
      </c>
      <c r="CM78">
        <v>28000</v>
      </c>
      <c r="CO78">
        <v>5</v>
      </c>
      <c r="CP78">
        <v>64000</v>
      </c>
      <c r="CR78">
        <v>24</v>
      </c>
      <c r="CS78">
        <v>24000</v>
      </c>
      <c r="CU78">
        <v>20</v>
      </c>
      <c r="CV78">
        <v>10000</v>
      </c>
      <c r="CX78" t="str">
        <v>23  25</v>
      </c>
      <c r="CY78">
        <v>15500</v>
      </c>
      <c r="DA78">
        <v>22</v>
      </c>
      <c r="DB78">
        <v>6000</v>
      </c>
      <c r="DG78">
        <v>2</v>
      </c>
      <c r="DH78">
        <v>17000</v>
      </c>
      <c r="DJ78">
        <v>6</v>
      </c>
      <c r="DK78">
        <v>19000</v>
      </c>
      <c r="DM78">
        <v>3</v>
      </c>
      <c r="DN78">
        <v>3500</v>
      </c>
      <c r="DP78">
        <v>5</v>
      </c>
      <c r="DQ78">
        <v>29000</v>
      </c>
      <c r="DS78">
        <v>10</v>
      </c>
      <c r="DT78">
        <v>13000</v>
      </c>
      <c r="DY78">
        <v>3</v>
      </c>
      <c r="DZ78">
        <v>39000</v>
      </c>
      <c r="EB78">
        <v>2</v>
      </c>
      <c r="EC78">
        <v>56000</v>
      </c>
      <c r="EE78">
        <v>1</v>
      </c>
      <c r="EF78">
        <v>36000</v>
      </c>
      <c r="EH78">
        <v>2</v>
      </c>
      <c r="EI78">
        <v>17000</v>
      </c>
      <c r="EK78">
        <v>1</v>
      </c>
      <c r="EL78">
        <v>17000</v>
      </c>
      <c r="EN78">
        <v>3</v>
      </c>
      <c r="EO78">
        <v>42000</v>
      </c>
      <c r="EQ78">
        <v>1</v>
      </c>
      <c r="ER78">
        <v>19000</v>
      </c>
    </row>
    <row r="79">
      <c r="A79">
        <v>110</v>
      </c>
      <c r="B79" s="1">
        <v>45187</v>
      </c>
      <c r="C79" t="str">
        <v>0920220313</v>
      </c>
      <c r="D79" t="str">
        <v>Maestro Barber shop</v>
      </c>
      <c r="F79" t="str">
        <v>Jl. cilendek</v>
      </c>
      <c r="G79" t="str">
        <v>Cilendek barat</v>
      </c>
      <c r="H79" t="str">
        <v>Bogor Barat</v>
      </c>
      <c r="I79" t="str">
        <v xml:space="preserve">Kota Bogor </v>
      </c>
      <c r="J79" t="str">
        <v>Jawa barat</v>
      </c>
      <c r="K79" t="str">
        <v>0896 3049 2606</v>
      </c>
      <c r="L79" t="str">
        <v>Publik</v>
      </c>
      <c r="M79" t="str">
        <v>Agus Tiarman</v>
      </c>
      <c r="N79" t="str">
        <v>non aktif</v>
      </c>
      <c r="BN79">
        <v>18</v>
      </c>
      <c r="BP79" t="str">
        <v>Penempatan</v>
      </c>
      <c r="BQ79">
        <v>17</v>
      </c>
      <c r="BR79">
        <v>5000</v>
      </c>
      <c r="BT79">
        <v>14</v>
      </c>
      <c r="BU79">
        <v>10000</v>
      </c>
      <c r="BW79">
        <v>23</v>
      </c>
      <c r="BY79" t="str">
        <v>kosong</v>
      </c>
      <c r="BZ79">
        <v>11</v>
      </c>
      <c r="CA79">
        <v>3000</v>
      </c>
      <c r="CC79">
        <v>8</v>
      </c>
      <c r="CE79" t="str">
        <v>kosong</v>
      </c>
      <c r="CF79">
        <v>15</v>
      </c>
      <c r="CH79" t="str">
        <v>kosong</v>
      </c>
      <c r="CN79" t="str">
        <v>ditarik</v>
      </c>
    </row>
    <row r="80">
      <c r="A80">
        <v>37</v>
      </c>
      <c r="B80" s="1">
        <v>45187</v>
      </c>
      <c r="C80" t="str">
        <v>0920220314</v>
      </c>
      <c r="D80" t="str">
        <v>Wagelah Kikchen warung bubur /ivan</v>
      </c>
      <c r="F80" t="str">
        <v>Jl. semeru</v>
      </c>
      <c r="G80" t="str">
        <v>Cilendek Timur</v>
      </c>
      <c r="H80" t="str">
        <v>Bogor Barat</v>
      </c>
      <c r="I80" t="str">
        <v xml:space="preserve">Kota Bogor </v>
      </c>
      <c r="J80" t="str">
        <v>Jawa barat</v>
      </c>
      <c r="K80" t="str">
        <v>0831 2622 9223</v>
      </c>
      <c r="L80" t="str">
        <v>Publik</v>
      </c>
      <c r="M80" t="str">
        <v>Agus Tiarman</v>
      </c>
      <c r="N80" t="str">
        <v>aktif</v>
      </c>
      <c r="BN80">
        <v>18</v>
      </c>
      <c r="BP80" t="str">
        <v>Penempatan</v>
      </c>
      <c r="BQ80">
        <v>17</v>
      </c>
      <c r="BR80">
        <v>5000</v>
      </c>
      <c r="BT80">
        <v>15</v>
      </c>
      <c r="BU80">
        <v>15500</v>
      </c>
      <c r="BW80">
        <v>13</v>
      </c>
      <c r="BX80">
        <v>11000</v>
      </c>
      <c r="BZ80">
        <v>11</v>
      </c>
      <c r="CA80">
        <v>18000</v>
      </c>
      <c r="CC80">
        <v>19</v>
      </c>
      <c r="CD80">
        <v>7200</v>
      </c>
      <c r="CF80">
        <v>21</v>
      </c>
      <c r="CG80">
        <v>31500</v>
      </c>
      <c r="CI80">
        <v>26</v>
      </c>
      <c r="CJ80">
        <v>26000</v>
      </c>
      <c r="CL80">
        <v>24</v>
      </c>
      <c r="CM80">
        <v>26000</v>
      </c>
      <c r="CO80">
        <v>20</v>
      </c>
      <c r="CP80">
        <v>12000</v>
      </c>
      <c r="CR80">
        <v>19</v>
      </c>
      <c r="CS80">
        <v>28000</v>
      </c>
      <c r="CU80">
        <v>23</v>
      </c>
      <c r="CV80">
        <v>34000</v>
      </c>
      <c r="CX80">
        <v>13</v>
      </c>
      <c r="CY80">
        <v>28000</v>
      </c>
      <c r="DA80">
        <v>25</v>
      </c>
      <c r="DB80">
        <v>46000</v>
      </c>
      <c r="DD80">
        <v>22</v>
      </c>
      <c r="DE80">
        <v>39000</v>
      </c>
      <c r="DG80">
        <v>20</v>
      </c>
      <c r="DH80">
        <v>46000</v>
      </c>
      <c r="DJ80">
        <v>17</v>
      </c>
      <c r="DK80">
        <v>23000</v>
      </c>
      <c r="DM80">
        <v>21</v>
      </c>
      <c r="DN80">
        <v>31000</v>
      </c>
      <c r="DP80">
        <v>14</v>
      </c>
      <c r="DQ80">
        <v>34000</v>
      </c>
      <c r="DS80">
        <v>18</v>
      </c>
      <c r="DT80">
        <v>30000</v>
      </c>
      <c r="DV80">
        <v>23</v>
      </c>
      <c r="DW80">
        <v>21000</v>
      </c>
      <c r="DY80">
        <v>20</v>
      </c>
      <c r="DZ80">
        <v>33000</v>
      </c>
      <c r="EB80">
        <v>18</v>
      </c>
      <c r="EC80">
        <v>35000</v>
      </c>
      <c r="EE80">
        <v>15</v>
      </c>
      <c r="EF80">
        <v>43000</v>
      </c>
      <c r="EH80">
        <v>19</v>
      </c>
      <c r="EI80">
        <v>33000</v>
      </c>
      <c r="EK80">
        <v>17</v>
      </c>
      <c r="EL80">
        <v>24000</v>
      </c>
      <c r="EN80">
        <v>21</v>
      </c>
      <c r="EO80">
        <v>27000</v>
      </c>
    </row>
    <row r="81">
      <c r="A81">
        <v>112</v>
      </c>
      <c r="B81" s="1">
        <v>45187</v>
      </c>
      <c r="C81" t="str">
        <v>0920220315</v>
      </c>
      <c r="D81" t="str">
        <v>Dot Vet makanan hewan</v>
      </c>
      <c r="F81" t="str">
        <v>Jl. cilendek</v>
      </c>
      <c r="G81" t="str">
        <v>Cilendek barat</v>
      </c>
      <c r="H81" t="str">
        <v>Bogor Barat</v>
      </c>
      <c r="I81" t="str">
        <v xml:space="preserve">Kota Bogor </v>
      </c>
      <c r="J81" t="str">
        <v>Jawa barat</v>
      </c>
      <c r="K81" t="str">
        <v>0899 7640 777</v>
      </c>
      <c r="L81" t="str">
        <v>Publik</v>
      </c>
      <c r="M81" t="str">
        <v>Agus Tiarman</v>
      </c>
      <c r="N81" t="str">
        <v>non aktif</v>
      </c>
      <c r="BN81">
        <v>18</v>
      </c>
      <c r="BP81" t="str">
        <v>Penempatan</v>
      </c>
      <c r="BQ81">
        <v>27</v>
      </c>
      <c r="BS81" t="str">
        <v>kosong</v>
      </c>
      <c r="BT81">
        <v>23</v>
      </c>
      <c r="BV81" t="str">
        <v>kosong</v>
      </c>
      <c r="BW81">
        <v>23</v>
      </c>
      <c r="BY81" t="str">
        <v>kosong</v>
      </c>
      <c r="BZ81">
        <v>5</v>
      </c>
      <c r="CB81" t="str">
        <v>kosong</v>
      </c>
      <c r="CC81">
        <v>11</v>
      </c>
      <c r="CE81" t="str">
        <v>kosong</v>
      </c>
      <c r="CF81">
        <v>15</v>
      </c>
      <c r="CH81" t="str">
        <v>kosong</v>
      </c>
      <c r="CN81" t="str">
        <v>ditarik</v>
      </c>
    </row>
    <row r="82">
      <c r="A82">
        <v>113</v>
      </c>
      <c r="B82" s="1">
        <v>45187</v>
      </c>
      <c r="C82" t="str">
        <v>0920220316</v>
      </c>
      <c r="D82" t="str">
        <v xml:space="preserve">Toko Jaket Kulit Kalong/ K3 Frozen </v>
      </c>
      <c r="F82" t="str">
        <v>Pasar ciherang</v>
      </c>
      <c r="G82" t="str">
        <v>Ciherang</v>
      </c>
      <c r="H82" t="str">
        <v xml:space="preserve">Dramaga </v>
      </c>
      <c r="I82" t="str">
        <v>Kab Bogor</v>
      </c>
      <c r="J82" t="str">
        <v>Jawa barat</v>
      </c>
      <c r="K82" t="str">
        <v>0896 8759 8863</v>
      </c>
      <c r="L82" t="str">
        <v>Publik</v>
      </c>
      <c r="M82" t="str">
        <v>Agus Tiarman</v>
      </c>
      <c r="N82" t="str">
        <v>non aktif</v>
      </c>
      <c r="BN82">
        <v>18</v>
      </c>
      <c r="BP82" t="str">
        <v>Penempatan</v>
      </c>
      <c r="BT82">
        <v>23</v>
      </c>
      <c r="BV82" t="str">
        <v>kosong</v>
      </c>
      <c r="BZ82">
        <v>10</v>
      </c>
      <c r="CB82" t="str">
        <v>kosong</v>
      </c>
    </row>
    <row r="83">
      <c r="A83">
        <v>114</v>
      </c>
      <c r="B83" s="1">
        <v>45187</v>
      </c>
      <c r="C83" t="str">
        <v>0920220317</v>
      </c>
      <c r="D83" t="str">
        <v>Toko Ibu Dewi Dhilza</v>
      </c>
      <c r="F83" t="str">
        <v xml:space="preserve">Jl. Semplak Raya rt,02/13 </v>
      </c>
      <c r="G83" t="str">
        <v>Cilendek barat</v>
      </c>
      <c r="H83" t="str">
        <v>Bogor Barat</v>
      </c>
      <c r="I83" t="str">
        <v xml:space="preserve">Kota Bogor </v>
      </c>
      <c r="J83" t="str">
        <v>Jawa barat</v>
      </c>
      <c r="K83" t="str">
        <v>0856 1453 605</v>
      </c>
      <c r="L83" t="str">
        <v>Publik</v>
      </c>
      <c r="M83" t="str">
        <v>Agus Tiarman</v>
      </c>
      <c r="N83" t="str">
        <v>non aktif</v>
      </c>
      <c r="BN83">
        <v>18</v>
      </c>
      <c r="BP83" t="str">
        <v>Penempatan</v>
      </c>
      <c r="BQ83">
        <v>17</v>
      </c>
      <c r="BR83">
        <v>9000</v>
      </c>
      <c r="BT83">
        <v>23</v>
      </c>
      <c r="BV83" t="str">
        <v>kosong</v>
      </c>
      <c r="BW83">
        <v>23</v>
      </c>
      <c r="BY83" t="str">
        <v>kosong</v>
      </c>
      <c r="BZ83">
        <v>5</v>
      </c>
      <c r="CB83" t="str">
        <v>kosong</v>
      </c>
    </row>
    <row r="84">
      <c r="A84">
        <v>38</v>
      </c>
      <c r="B84" s="1">
        <v>45187</v>
      </c>
      <c r="C84" t="str">
        <v>0920220318</v>
      </c>
      <c r="D84" t="str">
        <v>Toko bangunan Pribumi/ warteg kharisma bahari</v>
      </c>
      <c r="F84" t="str">
        <v xml:space="preserve">Jl. Semplak Raya </v>
      </c>
      <c r="G84" t="str">
        <v>Semplak</v>
      </c>
      <c r="H84" t="str">
        <v>Bogor Barat</v>
      </c>
      <c r="I84" t="str">
        <v xml:space="preserve">Kota Bogor </v>
      </c>
      <c r="J84" t="str">
        <v>Jawa barat</v>
      </c>
      <c r="K84" t="str">
        <v>0878 7000 4806/087722524519</v>
      </c>
      <c r="L84" t="str">
        <v>Publik</v>
      </c>
      <c r="M84" t="str">
        <v>Agus Tiarman/ Firdaus</v>
      </c>
      <c r="N84" t="str">
        <v>aktif</v>
      </c>
      <c r="BN84">
        <v>18</v>
      </c>
      <c r="BP84" t="str">
        <v>Penempatan</v>
      </c>
      <c r="BQ84">
        <v>10</v>
      </c>
      <c r="BS84" t="str">
        <v>kosong</v>
      </c>
      <c r="BT84">
        <v>23</v>
      </c>
      <c r="BV84" t="str">
        <v>kosong</v>
      </c>
      <c r="BW84">
        <v>13</v>
      </c>
      <c r="BX84">
        <v>7000</v>
      </c>
      <c r="BZ84">
        <v>11</v>
      </c>
      <c r="CB84" t="str">
        <v>kosong</v>
      </c>
      <c r="DY84">
        <v>5</v>
      </c>
      <c r="DZ84">
        <v>11000</v>
      </c>
      <c r="EB84">
        <v>2</v>
      </c>
      <c r="EC84">
        <v>19000</v>
      </c>
      <c r="EE84">
        <v>4</v>
      </c>
      <c r="EF84">
        <v>22000</v>
      </c>
      <c r="EH84">
        <v>1</v>
      </c>
      <c r="EI84">
        <v>28000</v>
      </c>
      <c r="EK84">
        <v>1</v>
      </c>
      <c r="EL84">
        <v>45000</v>
      </c>
      <c r="EN84">
        <v>3</v>
      </c>
      <c r="EO84">
        <v>44500</v>
      </c>
      <c r="EQ84">
        <v>1</v>
      </c>
      <c r="ER84">
        <v>30000</v>
      </c>
    </row>
    <row r="85">
      <c r="A85">
        <v>116</v>
      </c>
      <c r="B85" s="1">
        <v>45188</v>
      </c>
      <c r="C85" t="str">
        <v>0920220319</v>
      </c>
      <c r="D85" t="str">
        <v>TKIT Aliya (ngga ada kotak)</v>
      </c>
      <c r="F85" t="str">
        <v>Jl. Gardu</v>
      </c>
      <c r="G85" t="str">
        <v>Bubulak</v>
      </c>
      <c r="H85" t="str">
        <v>Bogor Barat</v>
      </c>
      <c r="I85" t="str">
        <v xml:space="preserve">Kota Bogor </v>
      </c>
      <c r="J85" t="str">
        <v>Jawa barat</v>
      </c>
      <c r="K85" t="str">
        <v>0857 1092 4922</v>
      </c>
      <c r="L85" t="str">
        <v>Publik</v>
      </c>
      <c r="M85" t="str">
        <v>Agus Tiarman</v>
      </c>
      <c r="N85" t="str">
        <v>non aktif</v>
      </c>
      <c r="BN85">
        <v>19</v>
      </c>
      <c r="BO85">
        <v>550000</v>
      </c>
    </row>
    <row r="86">
      <c r="A86">
        <v>39</v>
      </c>
      <c r="B86" s="1">
        <v>45188</v>
      </c>
      <c r="C86" t="str">
        <v>0920220320</v>
      </c>
      <c r="D86" t="str">
        <v>TKIT Darul Falah (8 kotak)</v>
      </c>
      <c r="F86" t="str">
        <v>Komp. Pertanian Loji Rt.02.10 no. 13</v>
      </c>
      <c r="G86" t="str">
        <v>Loji</v>
      </c>
      <c r="H86" t="str">
        <v>Bogor Barat</v>
      </c>
      <c r="I86" t="str">
        <v xml:space="preserve">Kota Bogor </v>
      </c>
      <c r="J86" t="str">
        <v>Jawa barat</v>
      </c>
      <c r="K86" t="str">
        <v>0856 9767 6907</v>
      </c>
      <c r="L86" t="str">
        <v>Publik</v>
      </c>
      <c r="M86" t="str">
        <v>Agus Tiarman</v>
      </c>
      <c r="N86" t="str">
        <v>aktif</v>
      </c>
      <c r="BN86">
        <v>19</v>
      </c>
      <c r="BP86" t="str">
        <v>Penempatan</v>
      </c>
      <c r="BQ86">
        <v>18</v>
      </c>
      <c r="BR86">
        <v>180000</v>
      </c>
      <c r="BT86">
        <v>23</v>
      </c>
      <c r="BU86">
        <v>138000</v>
      </c>
      <c r="BW86">
        <v>18</v>
      </c>
      <c r="BX86">
        <v>220000</v>
      </c>
      <c r="BZ86">
        <v>5</v>
      </c>
      <c r="CB86" t="str">
        <v>kosong</v>
      </c>
      <c r="CC86">
        <v>19</v>
      </c>
      <c r="CD86">
        <v>44000</v>
      </c>
      <c r="CF86">
        <v>22</v>
      </c>
      <c r="CG86">
        <v>118000</v>
      </c>
      <c r="CN86" t="str">
        <v>kosong</v>
      </c>
      <c r="CQ86" t="str">
        <v>kosong</v>
      </c>
      <c r="CT86" t="str">
        <v>kosong</v>
      </c>
      <c r="DA86">
        <v>30</v>
      </c>
      <c r="DB86">
        <v>102000</v>
      </c>
      <c r="DJ86">
        <v>22</v>
      </c>
      <c r="DK86">
        <v>32000</v>
      </c>
      <c r="DM86">
        <v>19</v>
      </c>
      <c r="DN86">
        <v>63000</v>
      </c>
      <c r="DP86">
        <v>19</v>
      </c>
      <c r="DR86" t="str">
        <v>kosong</v>
      </c>
      <c r="DU86" t="str">
        <v>kosong</v>
      </c>
      <c r="DV86">
        <v>20</v>
      </c>
      <c r="DW86">
        <v>98000</v>
      </c>
      <c r="EA86" t="str">
        <v>libur</v>
      </c>
      <c r="EE86">
        <v>25</v>
      </c>
      <c r="EF86">
        <v>72000</v>
      </c>
      <c r="EN86">
        <v>17</v>
      </c>
      <c r="EO86">
        <v>15500</v>
      </c>
    </row>
    <row r="87">
      <c r="A87">
        <v>118</v>
      </c>
      <c r="B87" s="1">
        <v>45188</v>
      </c>
      <c r="C87" t="str">
        <v>0920220321</v>
      </c>
      <c r="D87" t="str">
        <v>RA Al Jabbar</v>
      </c>
      <c r="F87" t="str">
        <v>Jl. Semeru</v>
      </c>
      <c r="G87" t="str">
        <v>Cilendek Timur</v>
      </c>
      <c r="H87" t="str">
        <v>Bogor Barat</v>
      </c>
      <c r="I87" t="str">
        <v xml:space="preserve">Kota Bogor </v>
      </c>
      <c r="J87" t="str">
        <v>Jawa barat</v>
      </c>
      <c r="K87" t="str">
        <v>0858 9114 2688</v>
      </c>
      <c r="L87" t="str">
        <v>Publik</v>
      </c>
      <c r="M87" t="str">
        <v>Agus Tiarman</v>
      </c>
      <c r="N87" t="str">
        <v>non aktif</v>
      </c>
      <c r="BN87">
        <v>19</v>
      </c>
      <c r="BP87" t="str">
        <v>Penempatan</v>
      </c>
      <c r="BT87">
        <v>23</v>
      </c>
      <c r="BV87" t="str">
        <v>kosong</v>
      </c>
      <c r="BW87">
        <v>23</v>
      </c>
      <c r="BY87" t="str">
        <v>kosong</v>
      </c>
      <c r="BZ87">
        <v>5</v>
      </c>
      <c r="CB87" t="str">
        <v>kosong</v>
      </c>
    </row>
    <row r="88">
      <c r="A88">
        <v>40</v>
      </c>
      <c r="B88" s="1">
        <v>45188</v>
      </c>
      <c r="C88" t="str">
        <v>0920220322</v>
      </c>
      <c r="D88" t="str">
        <v>Toko Terus Terang</v>
      </c>
      <c r="F88" t="str">
        <v>Jl. Sindang Barang</v>
      </c>
      <c r="G88" t="str">
        <v>Sindang Barang</v>
      </c>
      <c r="H88" t="str">
        <v>Bogor Barat</v>
      </c>
      <c r="I88" t="str">
        <v xml:space="preserve">Kota Bogor </v>
      </c>
      <c r="J88" t="str">
        <v>Jawa barat</v>
      </c>
      <c r="K88">
        <v>89688138283</v>
      </c>
      <c r="L88" t="str">
        <v>Publik</v>
      </c>
      <c r="M88" t="str">
        <v>Agus Tiarman</v>
      </c>
      <c r="N88" t="str">
        <v>aktif</v>
      </c>
      <c r="BN88">
        <v>19</v>
      </c>
      <c r="BP88" t="str">
        <v>Penempatan</v>
      </c>
      <c r="BQ88">
        <v>19</v>
      </c>
      <c r="BR88">
        <v>55000</v>
      </c>
      <c r="BT88">
        <v>20</v>
      </c>
      <c r="BU88">
        <v>24500</v>
      </c>
      <c r="BW88">
        <v>18</v>
      </c>
      <c r="BX88">
        <v>27000</v>
      </c>
      <c r="BZ88">
        <v>15</v>
      </c>
      <c r="CA88">
        <v>37000</v>
      </c>
      <c r="CC88">
        <v>6</v>
      </c>
      <c r="CD88">
        <v>24000</v>
      </c>
      <c r="CF88">
        <v>6</v>
      </c>
      <c r="CG88">
        <v>31000</v>
      </c>
      <c r="CI88">
        <v>3</v>
      </c>
      <c r="CJ88">
        <v>23000</v>
      </c>
      <c r="CL88">
        <v>7</v>
      </c>
      <c r="CM88">
        <v>11500</v>
      </c>
      <c r="CO88">
        <v>7</v>
      </c>
      <c r="CP88">
        <v>8000</v>
      </c>
      <c r="CT88" t="str">
        <v>kosong</v>
      </c>
      <c r="CX88">
        <v>27</v>
      </c>
      <c r="CY88">
        <v>17000</v>
      </c>
      <c r="DA88">
        <v>18</v>
      </c>
      <c r="DB88">
        <v>14000</v>
      </c>
      <c r="DG88" s="1">
        <v>45402</v>
      </c>
      <c r="DH88">
        <f>34500+16500</f>
        <v>51000</v>
      </c>
      <c r="DJ88">
        <v>8</v>
      </c>
      <c r="DL88" t="str">
        <v>kosong</v>
      </c>
      <c r="DM88">
        <v>6</v>
      </c>
      <c r="DN88">
        <v>23500</v>
      </c>
      <c r="DP88">
        <v>6</v>
      </c>
      <c r="DQ88">
        <v>23500</v>
      </c>
      <c r="DU88" t="str">
        <v>kosong</v>
      </c>
      <c r="DV88">
        <v>5</v>
      </c>
      <c r="DW88">
        <v>48000</v>
      </c>
      <c r="DY88" s="1">
        <v>43938</v>
      </c>
      <c r="EA88" t="str">
        <v>kosong</v>
      </c>
      <c r="EB88">
        <v>3</v>
      </c>
      <c r="EC88">
        <v>18000</v>
      </c>
      <c r="EH88">
        <v>2</v>
      </c>
      <c r="EI88">
        <v>39000</v>
      </c>
      <c r="EK88">
        <v>9</v>
      </c>
      <c r="EM88" t="str">
        <v>kosong</v>
      </c>
      <c r="EN88">
        <v>4</v>
      </c>
      <c r="EO88">
        <v>51000</v>
      </c>
    </row>
    <row r="89">
      <c r="A89">
        <v>120</v>
      </c>
      <c r="B89" s="1">
        <v>45189</v>
      </c>
      <c r="C89" t="str">
        <v>0920220323</v>
      </c>
      <c r="D89" t="str">
        <v>TKIT Alif</v>
      </c>
      <c r="F89" t="str">
        <v>Jl. Babakan Lebak</v>
      </c>
      <c r="G89" t="str">
        <v>Balumbang Jaya</v>
      </c>
      <c r="H89" t="str">
        <v>Bogor Barat</v>
      </c>
      <c r="I89" t="str">
        <v>Bogor Kota</v>
      </c>
      <c r="J89" t="str">
        <v>Jawa barat</v>
      </c>
      <c r="K89" t="str">
        <v>0813 8813 8795</v>
      </c>
      <c r="L89" t="str">
        <v>Publik</v>
      </c>
      <c r="M89" t="str">
        <v>Agus Tiarman</v>
      </c>
      <c r="N89" t="str">
        <v>non aktif</v>
      </c>
      <c r="BN89">
        <v>20</v>
      </c>
      <c r="BP89" t="str">
        <v>Penempatan</v>
      </c>
      <c r="BQ89">
        <v>25</v>
      </c>
      <c r="BR89">
        <v>20000</v>
      </c>
      <c r="BT89">
        <v>20</v>
      </c>
      <c r="BU89">
        <v>50000</v>
      </c>
      <c r="BW89">
        <v>23</v>
      </c>
      <c r="BY89" t="str">
        <v>kosong</v>
      </c>
      <c r="BZ89">
        <v>17</v>
      </c>
      <c r="CA89">
        <v>50000</v>
      </c>
    </row>
    <row r="90">
      <c r="A90">
        <v>41</v>
      </c>
      <c r="B90" s="1">
        <v>45189</v>
      </c>
      <c r="C90" t="str">
        <v>0920220324</v>
      </c>
      <c r="D90" t="str">
        <v>Bimba AIUEO IPB</v>
      </c>
      <c r="F90" t="str">
        <v>Jl. Dramaga Raya seberang BRI IPB</v>
      </c>
      <c r="G90" t="str">
        <v>Babakan</v>
      </c>
      <c r="H90" t="str">
        <v xml:space="preserve">Dramaga </v>
      </c>
      <c r="I90" t="str">
        <v>Kab Bogor</v>
      </c>
      <c r="J90" t="str">
        <v>Jawa barat</v>
      </c>
      <c r="K90" t="str">
        <v>0895 0962 1013</v>
      </c>
      <c r="L90" t="str">
        <v>Publik</v>
      </c>
      <c r="M90" t="str">
        <v>Agus Tiarman</v>
      </c>
      <c r="N90" t="str">
        <v>aktif</v>
      </c>
      <c r="BN90">
        <v>20</v>
      </c>
      <c r="BP90" t="str">
        <v>Penempatan</v>
      </c>
      <c r="BQ90">
        <v>25</v>
      </c>
      <c r="BR90">
        <v>59000</v>
      </c>
      <c r="BT90">
        <v>20</v>
      </c>
      <c r="BU90">
        <v>17000</v>
      </c>
      <c r="BW90">
        <v>23</v>
      </c>
      <c r="BY90" t="str">
        <v>kosong</v>
      </c>
      <c r="BZ90">
        <v>18</v>
      </c>
      <c r="CB90" t="str">
        <v>kosong</v>
      </c>
      <c r="CC90">
        <v>23</v>
      </c>
      <c r="CD90">
        <v>4000</v>
      </c>
      <c r="CI90">
        <v>30</v>
      </c>
      <c r="CJ90">
        <v>3000</v>
      </c>
      <c r="CL90">
        <v>22</v>
      </c>
      <c r="CM90">
        <v>45000</v>
      </c>
      <c r="CO90">
        <v>14</v>
      </c>
      <c r="CP90">
        <v>5000</v>
      </c>
      <c r="CX90">
        <v>18</v>
      </c>
      <c r="CY90">
        <v>95000</v>
      </c>
      <c r="DC90" t="str">
        <v>kosong</v>
      </c>
      <c r="DD90">
        <v>8</v>
      </c>
      <c r="DE90">
        <v>30000</v>
      </c>
      <c r="DG90">
        <v>6</v>
      </c>
      <c r="DH90">
        <v>20000</v>
      </c>
      <c r="DJ90">
        <v>7</v>
      </c>
      <c r="DK90">
        <v>20000</v>
      </c>
      <c r="DM90">
        <v>10</v>
      </c>
      <c r="DN90">
        <v>15000</v>
      </c>
      <c r="DP90">
        <v>6</v>
      </c>
      <c r="DQ90">
        <v>10000</v>
      </c>
      <c r="DS90">
        <v>22</v>
      </c>
      <c r="DT90">
        <v>21000</v>
      </c>
      <c r="DV90">
        <v>9</v>
      </c>
      <c r="DW90">
        <v>10000</v>
      </c>
      <c r="DY90">
        <v>11</v>
      </c>
      <c r="DZ90">
        <v>19500</v>
      </c>
      <c r="EB90">
        <v>7</v>
      </c>
      <c r="EC90">
        <v>35000</v>
      </c>
      <c r="EG90" t="str">
        <v>kosong</v>
      </c>
      <c r="EH90">
        <v>11</v>
      </c>
      <c r="EI90">
        <v>17000</v>
      </c>
      <c r="EK90">
        <v>7</v>
      </c>
      <c r="EL90">
        <v>13000</v>
      </c>
      <c r="EN90">
        <v>7</v>
      </c>
      <c r="EO90">
        <v>26000</v>
      </c>
      <c r="EQ90">
        <v>1</v>
      </c>
      <c r="ER90">
        <v>10000</v>
      </c>
    </row>
    <row r="91">
      <c r="A91">
        <v>42</v>
      </c>
      <c r="B91" s="1">
        <v>45189</v>
      </c>
      <c r="C91" t="str">
        <v>0920220325</v>
      </c>
      <c r="D91" t="str">
        <v>cafe Zama House/ toko murah senyum</v>
      </c>
      <c r="F91" t="str">
        <v xml:space="preserve">Jl. Dramaga Raya/jl ciherang </v>
      </c>
      <c r="G91" t="str">
        <v>Marga jaya</v>
      </c>
      <c r="H91" t="str">
        <v>Bogor Barat</v>
      </c>
      <c r="I91" t="str">
        <v xml:space="preserve">Kota Bogor </v>
      </c>
      <c r="J91" t="str">
        <v>Jawa barat</v>
      </c>
      <c r="K91" t="str">
        <v>0821 6656 5469/ 08955323066001</v>
      </c>
      <c r="L91" t="str">
        <v>Publik</v>
      </c>
      <c r="M91" t="str">
        <v>Agus Tiarman</v>
      </c>
      <c r="N91" t="str">
        <v>aktif</v>
      </c>
      <c r="BN91">
        <v>20</v>
      </c>
      <c r="BP91" t="str">
        <v>Penempatan</v>
      </c>
      <c r="BQ91">
        <v>10</v>
      </c>
      <c r="BS91" t="str">
        <v>kosong</v>
      </c>
      <c r="BT91">
        <v>23</v>
      </c>
      <c r="BV91" t="str">
        <v>kosong</v>
      </c>
      <c r="BW91">
        <v>20</v>
      </c>
      <c r="BX91">
        <v>6000</v>
      </c>
      <c r="BZ91">
        <v>5</v>
      </c>
      <c r="CB91" t="str">
        <v>kosong</v>
      </c>
      <c r="CC91">
        <v>7</v>
      </c>
      <c r="CD91">
        <v>1000</v>
      </c>
      <c r="CI91">
        <v>22</v>
      </c>
      <c r="CJ91">
        <v>6500</v>
      </c>
      <c r="CL91">
        <v>22</v>
      </c>
      <c r="CM91">
        <v>10000</v>
      </c>
      <c r="CO91">
        <v>25</v>
      </c>
      <c r="CP91">
        <v>2000</v>
      </c>
      <c r="CR91">
        <v>17</v>
      </c>
      <c r="CS91">
        <v>1000</v>
      </c>
      <c r="CW91" t="str">
        <v>kosong</v>
      </c>
      <c r="DC91" t="str">
        <v>kosong</v>
      </c>
      <c r="DD91">
        <v>31</v>
      </c>
      <c r="DE91">
        <v>10000</v>
      </c>
      <c r="DG91">
        <v>19</v>
      </c>
      <c r="DH91">
        <v>12000</v>
      </c>
      <c r="DJ91">
        <v>21</v>
      </c>
      <c r="DK91">
        <v>3500</v>
      </c>
      <c r="DM91">
        <v>18</v>
      </c>
      <c r="DN91">
        <v>5000</v>
      </c>
      <c r="DP91">
        <v>11</v>
      </c>
      <c r="DR91" t="str">
        <v>kosong</v>
      </c>
      <c r="DS91">
        <v>22</v>
      </c>
      <c r="DT91">
        <v>2000</v>
      </c>
      <c r="DY91">
        <v>17</v>
      </c>
      <c r="EA91" t="str">
        <v>kosong</v>
      </c>
      <c r="EB91">
        <v>15</v>
      </c>
      <c r="ED91" t="str">
        <v>ditarik-pindah kotak-15</v>
      </c>
      <c r="EH91">
        <v>10</v>
      </c>
      <c r="EI91">
        <v>5000</v>
      </c>
      <c r="EK91">
        <v>7</v>
      </c>
      <c r="EL91">
        <v>12000</v>
      </c>
      <c r="EN91">
        <v>5</v>
      </c>
      <c r="EO91">
        <v>17000</v>
      </c>
      <c r="EQ91">
        <v>4</v>
      </c>
      <c r="ER91">
        <v>6000</v>
      </c>
    </row>
    <row r="92">
      <c r="A92">
        <v>43</v>
      </c>
      <c r="B92" s="1">
        <v>45189</v>
      </c>
      <c r="C92" t="str">
        <v>0920220326</v>
      </c>
      <c r="D92" t="str">
        <v>Toko Herbal Dramaga Safa Marwah</v>
      </c>
      <c r="F92" t="str">
        <v>Jl. Dramaga Raya (samping indomart drabas)</v>
      </c>
      <c r="G92" t="str">
        <v>Marga jaya</v>
      </c>
      <c r="H92" t="str">
        <v>Bogor Barat</v>
      </c>
      <c r="I92" t="str">
        <v xml:space="preserve">Kota Bogor </v>
      </c>
      <c r="J92" t="str">
        <v>Jawa barat</v>
      </c>
      <c r="K92" t="str">
        <v>0858 6397 0835</v>
      </c>
      <c r="L92" t="str">
        <v>Publik</v>
      </c>
      <c r="M92" t="str">
        <v>Agus Tiarman</v>
      </c>
      <c r="N92" t="str">
        <v>aktif</v>
      </c>
      <c r="BN92">
        <v>20</v>
      </c>
      <c r="BP92" t="str">
        <v>Penempatan</v>
      </c>
      <c r="BQ92">
        <v>10</v>
      </c>
      <c r="BS92" t="str">
        <v>kosong</v>
      </c>
      <c r="BT92">
        <v>23</v>
      </c>
      <c r="BV92" t="str">
        <v>kosong</v>
      </c>
      <c r="BW92">
        <v>20</v>
      </c>
      <c r="BX92">
        <v>6000</v>
      </c>
      <c r="BZ92">
        <v>5</v>
      </c>
      <c r="CB92" t="str">
        <v>kosong</v>
      </c>
      <c r="CC92">
        <v>8</v>
      </c>
      <c r="CE92" t="str">
        <v>kosong</v>
      </c>
      <c r="CF92">
        <v>19</v>
      </c>
      <c r="CG92">
        <v>6000</v>
      </c>
      <c r="CI92">
        <v>22</v>
      </c>
      <c r="CJ92">
        <v>17000</v>
      </c>
      <c r="CL92">
        <v>22</v>
      </c>
      <c r="CM92">
        <v>14000</v>
      </c>
      <c r="CO92">
        <v>25</v>
      </c>
      <c r="CP92">
        <v>11000</v>
      </c>
      <c r="CU92">
        <v>20</v>
      </c>
      <c r="CV92">
        <v>23000</v>
      </c>
      <c r="CX92">
        <v>24</v>
      </c>
      <c r="CY92">
        <v>12500</v>
      </c>
      <c r="DC92" t="str">
        <v>kosong</v>
      </c>
      <c r="DD92">
        <v>22</v>
      </c>
      <c r="DE92">
        <v>10000</v>
      </c>
      <c r="DG92">
        <v>19</v>
      </c>
      <c r="DH92">
        <v>11000</v>
      </c>
      <c r="DJ92">
        <v>17</v>
      </c>
      <c r="DK92">
        <v>10000</v>
      </c>
      <c r="DM92">
        <v>18</v>
      </c>
      <c r="DN92">
        <v>11000</v>
      </c>
      <c r="DP92">
        <v>11</v>
      </c>
      <c r="DQ92">
        <v>13000</v>
      </c>
      <c r="DS92">
        <v>22</v>
      </c>
      <c r="DT92">
        <v>18000</v>
      </c>
      <c r="DV92">
        <v>19</v>
      </c>
      <c r="DW92">
        <v>20000</v>
      </c>
      <c r="DY92">
        <v>17</v>
      </c>
      <c r="DZ92">
        <v>10000</v>
      </c>
      <c r="ED92" t="str">
        <v>kosong</v>
      </c>
      <c r="EG92" t="str">
        <v>kosong</v>
      </c>
      <c r="EH92" t="str">
        <v>27  18</v>
      </c>
      <c r="EI92">
        <f>12000+10000</f>
        <v>22000</v>
      </c>
      <c r="EK92">
        <v>9</v>
      </c>
      <c r="EL92">
        <v>10000</v>
      </c>
      <c r="EM92" t="str">
        <v>kosong-10</v>
      </c>
      <c r="EN92">
        <v>10</v>
      </c>
      <c r="EP92" t="str">
        <v>kosong</v>
      </c>
      <c r="EQ92">
        <v>8</v>
      </c>
      <c r="ER92">
        <v>10000</v>
      </c>
    </row>
    <row r="93">
      <c r="A93">
        <v>44</v>
      </c>
      <c r="B93" s="1">
        <v>45189</v>
      </c>
      <c r="C93" t="str">
        <v>0920220327</v>
      </c>
      <c r="D93" t="str">
        <v>Barokah bintang Timur toko kelontong</v>
      </c>
      <c r="F93" t="str">
        <v>Ruko komp. Pakuan Rgency</v>
      </c>
      <c r="G93" t="str">
        <v>Marga jaya</v>
      </c>
      <c r="H93" t="str">
        <v>Bogor Barat</v>
      </c>
      <c r="I93" t="str">
        <v xml:space="preserve">Kota Bogor </v>
      </c>
      <c r="J93" t="str">
        <v>Jawa barat</v>
      </c>
      <c r="K93" t="str">
        <v>0821 2316 7178</v>
      </c>
      <c r="L93" t="str">
        <v>Publik</v>
      </c>
      <c r="M93" t="str">
        <v>Agus Tiarman</v>
      </c>
      <c r="N93" t="str">
        <v>aktif</v>
      </c>
      <c r="BN93">
        <v>20</v>
      </c>
      <c r="BP93" t="str">
        <v>Penempatan</v>
      </c>
      <c r="BQ93">
        <v>27</v>
      </c>
      <c r="BS93" t="str">
        <v>kosong</v>
      </c>
      <c r="BT93">
        <v>20</v>
      </c>
      <c r="BU93">
        <v>8000</v>
      </c>
      <c r="BW93">
        <v>23</v>
      </c>
      <c r="BY93" t="str">
        <v>kosong</v>
      </c>
      <c r="BZ93">
        <v>16</v>
      </c>
      <c r="CA93">
        <v>5000</v>
      </c>
      <c r="CC93">
        <v>8</v>
      </c>
      <c r="CE93" t="str">
        <v>kosong</v>
      </c>
      <c r="CI93">
        <v>5</v>
      </c>
      <c r="CJ93">
        <v>20000</v>
      </c>
      <c r="CN93" t="str">
        <v>kosong</v>
      </c>
      <c r="CR93">
        <v>11</v>
      </c>
      <c r="CS93">
        <v>10000</v>
      </c>
      <c r="CW93" t="str">
        <v>kosong</v>
      </c>
      <c r="CX93">
        <v>5</v>
      </c>
      <c r="CY93">
        <v>9000</v>
      </c>
      <c r="DA93">
        <v>10</v>
      </c>
      <c r="DB93">
        <v>12000</v>
      </c>
      <c r="DD93">
        <v>8</v>
      </c>
      <c r="DE93">
        <v>4000</v>
      </c>
      <c r="DG93">
        <v>5</v>
      </c>
      <c r="DH93">
        <v>10000</v>
      </c>
      <c r="DJ93">
        <v>7</v>
      </c>
      <c r="DK93">
        <v>22000</v>
      </c>
      <c r="DM93">
        <v>7</v>
      </c>
      <c r="DN93">
        <v>10000</v>
      </c>
      <c r="DP93">
        <v>6</v>
      </c>
      <c r="DQ93">
        <v>14000</v>
      </c>
      <c r="DS93">
        <v>11</v>
      </c>
      <c r="DT93">
        <v>10000</v>
      </c>
      <c r="DV93">
        <v>6</v>
      </c>
      <c r="DW93">
        <v>12000</v>
      </c>
      <c r="DY93">
        <v>10</v>
      </c>
      <c r="DZ93">
        <v>12000</v>
      </c>
      <c r="EB93">
        <v>9</v>
      </c>
      <c r="EC93">
        <v>20000</v>
      </c>
      <c r="EE93">
        <v>7</v>
      </c>
      <c r="EF93">
        <v>33500</v>
      </c>
      <c r="EH93">
        <v>9</v>
      </c>
      <c r="EI93">
        <v>10000</v>
      </c>
      <c r="EK93" s="1">
        <v>45832</v>
      </c>
      <c r="EL93">
        <f>11000+18000</f>
        <v>29000</v>
      </c>
      <c r="EN93">
        <v>6</v>
      </c>
      <c r="EO93">
        <v>4000</v>
      </c>
      <c r="EQ93">
        <v>4</v>
      </c>
      <c r="ER93">
        <v>20000</v>
      </c>
    </row>
    <row r="94">
      <c r="A94">
        <v>45</v>
      </c>
      <c r="B94" s="1">
        <v>45189</v>
      </c>
      <c r="C94" t="str">
        <v>0920220328</v>
      </c>
      <c r="D94" t="str">
        <v>Alinuy barbershop</v>
      </c>
      <c r="F94" t="str">
        <v>Ruko komp. Pakuan Rgency</v>
      </c>
      <c r="G94" t="str">
        <v>Marga jaya</v>
      </c>
      <c r="H94" t="str">
        <v>Bogor Barat</v>
      </c>
      <c r="I94" t="str">
        <v xml:space="preserve">Kota Bogor </v>
      </c>
      <c r="J94" t="str">
        <v>Jawa barat</v>
      </c>
      <c r="K94" t="str">
        <v>0857 3331 4768</v>
      </c>
      <c r="L94" t="str">
        <v>Publik</v>
      </c>
      <c r="M94" t="str">
        <v>Agus Tiarman</v>
      </c>
      <c r="N94" t="str">
        <v>aktif</v>
      </c>
      <c r="BN94">
        <v>20</v>
      </c>
      <c r="BP94" t="str">
        <v>Penempatan</v>
      </c>
      <c r="BQ94">
        <v>19</v>
      </c>
      <c r="BR94">
        <v>16000</v>
      </c>
      <c r="BT94">
        <v>20</v>
      </c>
      <c r="BU94">
        <v>17000</v>
      </c>
      <c r="BW94">
        <v>20</v>
      </c>
      <c r="BX94">
        <v>11000</v>
      </c>
      <c r="BZ94">
        <v>5</v>
      </c>
      <c r="CB94" t="str">
        <v>kosong</v>
      </c>
      <c r="CF94">
        <v>1</v>
      </c>
      <c r="CG94">
        <v>10000</v>
      </c>
      <c r="CI94">
        <v>5</v>
      </c>
      <c r="CJ94">
        <v>1000</v>
      </c>
      <c r="CN94" t="str">
        <v>kosong</v>
      </c>
      <c r="CR94">
        <v>11</v>
      </c>
      <c r="CS94">
        <v>5000</v>
      </c>
      <c r="CW94" t="str">
        <v>kosong</v>
      </c>
      <c r="DA94">
        <v>10</v>
      </c>
      <c r="DB94">
        <v>100000</v>
      </c>
      <c r="DG94">
        <v>5</v>
      </c>
      <c r="DH94">
        <v>20000</v>
      </c>
      <c r="DJ94">
        <v>17</v>
      </c>
      <c r="DK94">
        <v>25000</v>
      </c>
      <c r="DM94">
        <v>7</v>
      </c>
      <c r="DN94">
        <v>15000</v>
      </c>
      <c r="DP94">
        <v>6</v>
      </c>
      <c r="DQ94">
        <v>25000</v>
      </c>
      <c r="DS94">
        <v>11</v>
      </c>
      <c r="DT94">
        <v>25000</v>
      </c>
      <c r="DV94">
        <v>6</v>
      </c>
      <c r="DX94" t="str">
        <v>kosong</v>
      </c>
      <c r="DY94">
        <v>11</v>
      </c>
      <c r="DZ94">
        <v>6000</v>
      </c>
      <c r="ED94" t="str">
        <v>kosong</v>
      </c>
      <c r="EE94">
        <v>6</v>
      </c>
      <c r="EG94" t="str">
        <v>kosong</v>
      </c>
      <c r="EH94">
        <v>9</v>
      </c>
      <c r="EI94">
        <v>30000</v>
      </c>
      <c r="EK94">
        <v>6</v>
      </c>
      <c r="EL94">
        <v>35000</v>
      </c>
      <c r="EN94">
        <v>6</v>
      </c>
      <c r="EO94">
        <v>22000</v>
      </c>
      <c r="EQ94">
        <v>4</v>
      </c>
      <c r="ER94">
        <v>20000</v>
      </c>
    </row>
    <row r="95">
      <c r="A95">
        <v>56</v>
      </c>
      <c r="B95" s="1">
        <v>45190</v>
      </c>
      <c r="C95" t="str">
        <v>0920220329</v>
      </c>
      <c r="D95" t="str">
        <v>Toko TM Fresh Frozen</v>
      </c>
      <c r="F95" t="str">
        <v>jl. KH Syarifudin pilar 5 rt.02/02</v>
      </c>
      <c r="G95" t="str">
        <v>Sindang Barang</v>
      </c>
      <c r="H95" t="str">
        <v>Bogor Barat</v>
      </c>
      <c r="I95" t="str">
        <v xml:space="preserve">Kota Bogor </v>
      </c>
      <c r="J95" t="str">
        <v>Jawa barat</v>
      </c>
      <c r="K95" t="str">
        <v>0857 7557 2389</v>
      </c>
      <c r="L95" t="str">
        <v>Publik</v>
      </c>
      <c r="M95" t="str">
        <v>Agus Tiarman</v>
      </c>
      <c r="N95" t="str">
        <v>non aktif</v>
      </c>
      <c r="BN95">
        <v>21</v>
      </c>
      <c r="BP95" t="str">
        <v>Penempatan</v>
      </c>
      <c r="BQ95">
        <v>27</v>
      </c>
      <c r="BR95">
        <v>10500</v>
      </c>
      <c r="BT95">
        <v>23</v>
      </c>
      <c r="BV95" t="str">
        <v>kosong</v>
      </c>
      <c r="BW95">
        <v>21</v>
      </c>
      <c r="BX95">
        <v>15000</v>
      </c>
      <c r="BZ95">
        <v>18</v>
      </c>
      <c r="CA95">
        <v>2500</v>
      </c>
      <c r="CC95">
        <v>21</v>
      </c>
      <c r="CD95">
        <v>3200</v>
      </c>
      <c r="CF95">
        <v>20</v>
      </c>
      <c r="CG95">
        <v>13000</v>
      </c>
      <c r="CI95">
        <v>22</v>
      </c>
      <c r="CJ95">
        <v>14000</v>
      </c>
      <c r="CL95">
        <v>20</v>
      </c>
      <c r="CM95">
        <v>22000</v>
      </c>
      <c r="CO95">
        <v>20</v>
      </c>
      <c r="CP95">
        <v>9500</v>
      </c>
      <c r="CR95">
        <v>11</v>
      </c>
      <c r="CS95">
        <v>11000</v>
      </c>
      <c r="CU95">
        <v>12</v>
      </c>
      <c r="CV95">
        <v>2500</v>
      </c>
      <c r="CX95">
        <v>11</v>
      </c>
      <c r="CY95">
        <v>5000</v>
      </c>
      <c r="DA95">
        <v>15</v>
      </c>
      <c r="DB95">
        <v>9000</v>
      </c>
      <c r="DG95">
        <v>12</v>
      </c>
      <c r="DH95">
        <v>2000</v>
      </c>
      <c r="DJ95">
        <v>9</v>
      </c>
      <c r="DK95">
        <v>11000</v>
      </c>
      <c r="DM95">
        <v>11</v>
      </c>
      <c r="DN95">
        <v>6500</v>
      </c>
      <c r="DP95">
        <v>10</v>
      </c>
      <c r="DQ95">
        <v>22000</v>
      </c>
      <c r="DS95">
        <v>16</v>
      </c>
      <c r="DT95">
        <v>10000</v>
      </c>
      <c r="DV95">
        <v>13</v>
      </c>
      <c r="DW95">
        <v>5000</v>
      </c>
      <c r="DY95">
        <v>17</v>
      </c>
      <c r="DZ95">
        <v>5000</v>
      </c>
      <c r="ED95" t="str">
        <v>kosong</v>
      </c>
      <c r="EG95" t="str">
        <v>kosong</v>
      </c>
      <c r="EH95">
        <v>12</v>
      </c>
      <c r="EJ95" t="str">
        <v>ditarik</v>
      </c>
    </row>
    <row r="96">
      <c r="A96">
        <v>46</v>
      </c>
      <c r="B96" s="1">
        <v>45190</v>
      </c>
      <c r="C96" t="str">
        <v>0920220330</v>
      </c>
      <c r="D96" t="str">
        <v>Warung sayur bang Amar</v>
      </c>
      <c r="F96" t="str">
        <v>Jl. H. Naman Rt.05/07</v>
      </c>
      <c r="G96" t="str">
        <v>Sindang Barang</v>
      </c>
      <c r="H96" t="str">
        <v>Bogor Barat</v>
      </c>
      <c r="I96" t="str">
        <v xml:space="preserve">Kota Bogor </v>
      </c>
      <c r="J96" t="str">
        <v>Jawa barat</v>
      </c>
      <c r="K96" t="str">
        <v>0857 8251 0499</v>
      </c>
      <c r="L96" t="str">
        <v>Publik</v>
      </c>
      <c r="M96" t="str">
        <v>Agus Tiarman</v>
      </c>
      <c r="N96" t="str">
        <v>aktif</v>
      </c>
      <c r="BN96">
        <v>21</v>
      </c>
      <c r="BP96" t="str">
        <v>Penempatan</v>
      </c>
      <c r="BQ96">
        <v>27</v>
      </c>
      <c r="BS96" t="str">
        <v>kosong</v>
      </c>
      <c r="BT96">
        <v>23</v>
      </c>
      <c r="BV96" t="str">
        <v>kosong</v>
      </c>
      <c r="BW96">
        <v>23</v>
      </c>
      <c r="BY96" t="str">
        <v>kosong</v>
      </c>
      <c r="BZ96">
        <v>18</v>
      </c>
      <c r="CB96" t="str">
        <v>kosong</v>
      </c>
      <c r="CC96">
        <v>20</v>
      </c>
      <c r="CD96">
        <v>4500</v>
      </c>
      <c r="CO96">
        <v>20</v>
      </c>
      <c r="CP96">
        <v>2000</v>
      </c>
      <c r="CR96">
        <v>22</v>
      </c>
      <c r="CS96">
        <v>2000</v>
      </c>
      <c r="CU96">
        <v>20</v>
      </c>
      <c r="CV96">
        <v>1500</v>
      </c>
      <c r="CX96">
        <v>23</v>
      </c>
      <c r="CY96">
        <v>10000</v>
      </c>
      <c r="DA96">
        <v>22</v>
      </c>
      <c r="DB96">
        <v>5000</v>
      </c>
      <c r="DD96">
        <v>14</v>
      </c>
      <c r="DE96">
        <v>7000</v>
      </c>
      <c r="DG96">
        <v>19</v>
      </c>
      <c r="DH96">
        <v>6000</v>
      </c>
      <c r="DP96">
        <v>18</v>
      </c>
      <c r="DQ96">
        <v>3000</v>
      </c>
      <c r="DS96">
        <v>23</v>
      </c>
      <c r="DT96">
        <v>6000</v>
      </c>
      <c r="DV96">
        <v>20</v>
      </c>
      <c r="DW96">
        <v>5000</v>
      </c>
      <c r="DY96">
        <v>17</v>
      </c>
      <c r="EA96" t="str">
        <v>kosong</v>
      </c>
      <c r="EB96">
        <v>18</v>
      </c>
      <c r="ED96" t="str">
        <v>kosong</v>
      </c>
      <c r="EH96">
        <v>18</v>
      </c>
      <c r="EI96">
        <v>7000</v>
      </c>
      <c r="EM96" t="str">
        <v>kosong</v>
      </c>
      <c r="EN96">
        <v>17</v>
      </c>
      <c r="EO96">
        <v>7500</v>
      </c>
    </row>
    <row r="97">
      <c r="A97">
        <v>128</v>
      </c>
      <c r="B97" s="1">
        <v>45190</v>
      </c>
      <c r="C97" t="str">
        <v>0920220331</v>
      </c>
      <c r="D97" t="str">
        <v>Toko Inces snack</v>
      </c>
      <c r="F97" t="str">
        <v>Jl. H. Naman Rt.05/07</v>
      </c>
      <c r="G97" t="str">
        <v>Sindang Barang</v>
      </c>
      <c r="H97" t="str">
        <v>Bogor Barat</v>
      </c>
      <c r="I97" t="str">
        <v xml:space="preserve">Kota Bogor </v>
      </c>
      <c r="J97" t="str">
        <v>Jawa barat</v>
      </c>
      <c r="K97" t="str">
        <v>0838 7469 9035</v>
      </c>
      <c r="L97" t="str">
        <v>Publik</v>
      </c>
      <c r="M97" t="str">
        <v>Agus Tiarman</v>
      </c>
      <c r="N97" t="str">
        <v>non aktif</v>
      </c>
      <c r="BN97">
        <v>21</v>
      </c>
      <c r="BP97" t="str">
        <v>Penempatan</v>
      </c>
      <c r="BQ97">
        <v>20</v>
      </c>
      <c r="BR97">
        <v>9500</v>
      </c>
      <c r="BT97">
        <v>23</v>
      </c>
      <c r="BV97" t="str">
        <v>kosong</v>
      </c>
      <c r="BW97">
        <v>23</v>
      </c>
      <c r="BY97" t="str">
        <v>kosong</v>
      </c>
      <c r="BZ97">
        <v>18</v>
      </c>
      <c r="CB97" t="str">
        <v>kosong</v>
      </c>
      <c r="CF97">
        <v>20</v>
      </c>
      <c r="CG97">
        <v>1000</v>
      </c>
      <c r="CQ97" t="str">
        <v>ditarik</v>
      </c>
    </row>
    <row r="98">
      <c r="A98">
        <v>47</v>
      </c>
      <c r="B98" s="1">
        <v>45190</v>
      </c>
      <c r="C98" t="str">
        <v>0920220332</v>
      </c>
      <c r="D98" t="str">
        <v>Toko Sembako Nizam</v>
      </c>
      <c r="F98" t="str">
        <v>Jl. H. Naman Rt.05/06 (kavling)</v>
      </c>
      <c r="G98" t="str">
        <v>Sindang Barang</v>
      </c>
      <c r="H98" t="str">
        <v>Bogor Barat</v>
      </c>
      <c r="I98" t="str">
        <v xml:space="preserve">Kota Bogor </v>
      </c>
      <c r="J98" t="str">
        <v>Jawa barat</v>
      </c>
      <c r="K98" t="str">
        <v>0831 6633 9433</v>
      </c>
      <c r="L98" t="str">
        <v>Publik</v>
      </c>
      <c r="M98" t="str">
        <v>Agus Tiarman</v>
      </c>
      <c r="N98" t="str">
        <v>aktif</v>
      </c>
      <c r="BN98">
        <v>21</v>
      </c>
      <c r="BP98" t="str">
        <v>Penempatan</v>
      </c>
      <c r="BQ98">
        <v>23</v>
      </c>
      <c r="BR98">
        <v>15000</v>
      </c>
      <c r="BT98">
        <v>22</v>
      </c>
      <c r="BU98">
        <v>28000</v>
      </c>
      <c r="BW98">
        <v>21</v>
      </c>
      <c r="BX98">
        <v>21000</v>
      </c>
      <c r="BZ98">
        <v>18</v>
      </c>
      <c r="CA98">
        <v>15000</v>
      </c>
      <c r="CC98">
        <v>29</v>
      </c>
      <c r="CD98">
        <v>21000</v>
      </c>
      <c r="CF98">
        <v>20</v>
      </c>
      <c r="CG98">
        <v>2500</v>
      </c>
      <c r="CI98">
        <v>30</v>
      </c>
      <c r="CJ98">
        <v>39000</v>
      </c>
      <c r="CL98">
        <v>27</v>
      </c>
      <c r="CM98">
        <v>19000</v>
      </c>
      <c r="CO98">
        <v>20</v>
      </c>
      <c r="CP98">
        <v>23000</v>
      </c>
      <c r="CR98">
        <v>22</v>
      </c>
      <c r="CS98">
        <v>34000</v>
      </c>
      <c r="CU98">
        <v>23</v>
      </c>
      <c r="CV98">
        <v>30000</v>
      </c>
      <c r="CX98">
        <v>23</v>
      </c>
      <c r="CY98">
        <v>20000</v>
      </c>
      <c r="DA98">
        <v>22</v>
      </c>
      <c r="DB98">
        <v>13000</v>
      </c>
      <c r="DD98">
        <v>21</v>
      </c>
      <c r="DE98">
        <v>12500</v>
      </c>
      <c r="DG98">
        <v>19</v>
      </c>
      <c r="DH98">
        <v>13000</v>
      </c>
      <c r="DJ98">
        <v>17</v>
      </c>
      <c r="DK98">
        <v>14500</v>
      </c>
      <c r="DM98">
        <v>17</v>
      </c>
      <c r="DN98">
        <v>49000</v>
      </c>
      <c r="DP98">
        <v>18</v>
      </c>
      <c r="DQ98">
        <v>14500</v>
      </c>
      <c r="DU98" t="str">
        <v>tutup</v>
      </c>
      <c r="DV98">
        <v>20</v>
      </c>
      <c r="DW98">
        <v>19000</v>
      </c>
      <c r="DY98">
        <v>17</v>
      </c>
      <c r="DZ98">
        <v>29000</v>
      </c>
      <c r="EB98">
        <v>18</v>
      </c>
      <c r="EC98">
        <v>97500</v>
      </c>
      <c r="EE98">
        <v>22</v>
      </c>
      <c r="EF98">
        <v>57000</v>
      </c>
      <c r="EH98">
        <v>18</v>
      </c>
      <c r="EI98">
        <v>17500</v>
      </c>
      <c r="EK98">
        <v>17</v>
      </c>
      <c r="EL98">
        <v>18000</v>
      </c>
      <c r="EN98">
        <v>17</v>
      </c>
      <c r="EO98">
        <v>19000</v>
      </c>
    </row>
    <row r="99">
      <c r="A99">
        <v>58</v>
      </c>
      <c r="B99" s="1">
        <v>45190</v>
      </c>
      <c r="C99" t="str">
        <v>0920220333</v>
      </c>
      <c r="D99" t="str">
        <v>Klinik bidan uswatun</v>
      </c>
      <c r="F99" t="str">
        <v>Jl. H. Naman Sindang Barang pilar 1</v>
      </c>
      <c r="G99" t="str">
        <v>Sindang Barang</v>
      </c>
      <c r="H99" t="str">
        <v>Bogor Barat</v>
      </c>
      <c r="I99" t="str">
        <v xml:space="preserve">Kota Bogor </v>
      </c>
      <c r="J99" t="str">
        <v>Jawa barat</v>
      </c>
      <c r="K99" t="str">
        <v>0856 7264 044</v>
      </c>
      <c r="L99" t="str">
        <v>Publik</v>
      </c>
      <c r="M99" t="str">
        <v>Agus Tiarman</v>
      </c>
      <c r="N99" t="str">
        <v>non aktif</v>
      </c>
      <c r="BN99">
        <v>21</v>
      </c>
      <c r="BP99" t="str">
        <v>Penempatan</v>
      </c>
      <c r="BQ99">
        <v>20</v>
      </c>
      <c r="BR99">
        <v>17000</v>
      </c>
      <c r="BT99">
        <v>22</v>
      </c>
      <c r="BU99">
        <v>8000</v>
      </c>
      <c r="BW99">
        <v>21</v>
      </c>
      <c r="BX99">
        <v>6000</v>
      </c>
      <c r="BZ99">
        <v>18</v>
      </c>
      <c r="CA99">
        <v>9000</v>
      </c>
      <c r="CC99">
        <v>29</v>
      </c>
      <c r="CD99">
        <v>13000</v>
      </c>
      <c r="CI99">
        <v>30</v>
      </c>
      <c r="CJ99">
        <v>2000</v>
      </c>
      <c r="CN99" t="str">
        <v>kosong</v>
      </c>
      <c r="CP99">
        <v>2500</v>
      </c>
      <c r="CR99">
        <v>22</v>
      </c>
      <c r="CS99">
        <v>4500</v>
      </c>
      <c r="CU99">
        <v>21</v>
      </c>
      <c r="CV99">
        <v>10000</v>
      </c>
      <c r="CX99">
        <v>23</v>
      </c>
      <c r="CY99">
        <v>6000</v>
      </c>
      <c r="DA99">
        <v>22</v>
      </c>
      <c r="DB99">
        <v>7000</v>
      </c>
      <c r="DD99">
        <v>21</v>
      </c>
      <c r="DE99">
        <v>5000</v>
      </c>
      <c r="DG99">
        <v>19</v>
      </c>
      <c r="DH99">
        <v>3500</v>
      </c>
      <c r="DJ99">
        <v>17</v>
      </c>
      <c r="DK99">
        <v>3500</v>
      </c>
      <c r="DM99">
        <v>18</v>
      </c>
      <c r="DN99">
        <v>2500</v>
      </c>
      <c r="DP99">
        <v>18</v>
      </c>
      <c r="DQ99">
        <v>12000</v>
      </c>
      <c r="DS99">
        <v>23</v>
      </c>
      <c r="DT99">
        <v>5000</v>
      </c>
      <c r="DY99">
        <v>17</v>
      </c>
      <c r="EA99" t="str">
        <v>kosong</v>
      </c>
      <c r="EB99">
        <v>18</v>
      </c>
      <c r="ED99" t="str">
        <v>kosong</v>
      </c>
      <c r="EH99">
        <v>18</v>
      </c>
      <c r="EJ99" t="str">
        <v>ditarik</v>
      </c>
    </row>
    <row r="100">
      <c r="A100">
        <v>48</v>
      </c>
      <c r="B100" s="1">
        <v>45191</v>
      </c>
      <c r="C100" t="str">
        <v>0920220334</v>
      </c>
      <c r="D100" t="str">
        <v>Toko Jembar/Fahri Frozen</v>
      </c>
      <c r="F100" t="str">
        <v>Jl.Cifor Raya</v>
      </c>
      <c r="G100" t="str">
        <v>Bubulak</v>
      </c>
      <c r="H100" t="str">
        <v>Bogor barat</v>
      </c>
      <c r="I100" t="str">
        <v xml:space="preserve">Kota Bogor </v>
      </c>
      <c r="J100" t="str">
        <v>Jawa barat</v>
      </c>
      <c r="K100">
        <v>8218912618</v>
      </c>
      <c r="L100" t="str">
        <v>Publik</v>
      </c>
      <c r="M100" t="str">
        <v>Agus Tiarman</v>
      </c>
      <c r="N100" t="str">
        <v>aktif</v>
      </c>
      <c r="BN100">
        <v>22</v>
      </c>
      <c r="BP100" t="str">
        <v>Penempatan</v>
      </c>
      <c r="BQ100">
        <v>23</v>
      </c>
      <c r="BR100">
        <v>25000</v>
      </c>
      <c r="BT100">
        <v>13</v>
      </c>
      <c r="BU100">
        <v>21000</v>
      </c>
      <c r="BW100">
        <v>21</v>
      </c>
      <c r="BX100">
        <v>23000</v>
      </c>
      <c r="BZ100">
        <v>19</v>
      </c>
      <c r="CA100">
        <v>26000</v>
      </c>
      <c r="CC100">
        <v>21</v>
      </c>
      <c r="CD100">
        <v>32000</v>
      </c>
      <c r="CF100">
        <v>20</v>
      </c>
      <c r="CG100">
        <v>13000</v>
      </c>
      <c r="CL100">
        <v>20</v>
      </c>
      <c r="CM100">
        <v>54000</v>
      </c>
      <c r="CO100">
        <v>12</v>
      </c>
      <c r="CP100">
        <v>22000</v>
      </c>
      <c r="CR100">
        <v>11</v>
      </c>
      <c r="CS100">
        <v>20000</v>
      </c>
      <c r="CU100">
        <v>12</v>
      </c>
      <c r="CV100">
        <v>8000</v>
      </c>
      <c r="CX100">
        <v>11</v>
      </c>
      <c r="CY100">
        <v>29000</v>
      </c>
      <c r="DA100">
        <v>15</v>
      </c>
      <c r="DB100">
        <v>15000</v>
      </c>
      <c r="DD100">
        <v>14</v>
      </c>
      <c r="DE100">
        <v>18000</v>
      </c>
      <c r="DG100">
        <v>9</v>
      </c>
      <c r="DH100">
        <v>34000</v>
      </c>
      <c r="DJ100">
        <v>9</v>
      </c>
      <c r="DK100">
        <v>46000</v>
      </c>
      <c r="DM100">
        <v>11</v>
      </c>
      <c r="DN100">
        <v>42000</v>
      </c>
      <c r="DP100">
        <v>10</v>
      </c>
      <c r="DQ100">
        <v>32000</v>
      </c>
      <c r="DS100">
        <v>16</v>
      </c>
      <c r="DT100">
        <v>6000</v>
      </c>
      <c r="DV100">
        <v>13</v>
      </c>
      <c r="DW100">
        <v>44000</v>
      </c>
      <c r="DY100">
        <v>13</v>
      </c>
      <c r="DZ100">
        <v>30000</v>
      </c>
      <c r="EB100">
        <v>14</v>
      </c>
      <c r="EC100">
        <v>32000</v>
      </c>
      <c r="EE100">
        <v>11</v>
      </c>
      <c r="EF100">
        <v>40000</v>
      </c>
      <c r="EH100">
        <v>12</v>
      </c>
      <c r="EI100">
        <v>32000</v>
      </c>
      <c r="EK100">
        <v>10</v>
      </c>
      <c r="EL100">
        <v>16000</v>
      </c>
      <c r="EN100">
        <v>11</v>
      </c>
      <c r="EO100">
        <v>26000</v>
      </c>
    </row>
    <row r="101">
      <c r="A101">
        <v>60</v>
      </c>
      <c r="B101" s="1">
        <v>45191</v>
      </c>
      <c r="C101" t="str">
        <v>0920220335</v>
      </c>
      <c r="D101" t="str">
        <v>toko obat Ershat Shop</v>
      </c>
      <c r="F101" t="str">
        <v>Jl.Cifor Raya</v>
      </c>
      <c r="G101" t="str">
        <v>Bubulak</v>
      </c>
      <c r="H101" t="str">
        <v>Bogor Barat</v>
      </c>
      <c r="I101" t="str">
        <v xml:space="preserve">Kota Bogor </v>
      </c>
      <c r="J101" t="str">
        <v>Jawa barat</v>
      </c>
      <c r="K101">
        <v>85161175128</v>
      </c>
      <c r="L101" t="str">
        <v>Publik</v>
      </c>
      <c r="M101" t="str">
        <v>Agus Tiarman</v>
      </c>
      <c r="N101" t="str">
        <v>non aktif</v>
      </c>
      <c r="BN101">
        <v>22</v>
      </c>
      <c r="BP101" t="str">
        <v>Penempatan</v>
      </c>
      <c r="BQ101">
        <v>23</v>
      </c>
      <c r="BR101">
        <v>6000</v>
      </c>
      <c r="BT101">
        <v>23</v>
      </c>
      <c r="BV101" t="str">
        <v>kosong</v>
      </c>
      <c r="BW101">
        <v>21</v>
      </c>
      <c r="BX101">
        <v>3000</v>
      </c>
      <c r="BZ101">
        <v>5</v>
      </c>
      <c r="CB101" t="str">
        <v>kosong</v>
      </c>
      <c r="CC101">
        <v>5</v>
      </c>
      <c r="CE101" t="str">
        <v>kosong</v>
      </c>
      <c r="CF101">
        <v>8</v>
      </c>
      <c r="CG101">
        <v>2000</v>
      </c>
      <c r="CI101">
        <v>22</v>
      </c>
      <c r="CJ101">
        <v>78000</v>
      </c>
      <c r="CL101">
        <v>16</v>
      </c>
      <c r="CM101">
        <v>37000</v>
      </c>
      <c r="CO101">
        <v>11</v>
      </c>
      <c r="CP101">
        <v>4000</v>
      </c>
      <c r="CR101">
        <v>11</v>
      </c>
      <c r="CS101">
        <v>11000</v>
      </c>
      <c r="CU101">
        <v>12</v>
      </c>
      <c r="CV101">
        <v>15500</v>
      </c>
      <c r="DA101">
        <v>15</v>
      </c>
      <c r="DB101">
        <v>3000</v>
      </c>
      <c r="DD101">
        <v>14</v>
      </c>
      <c r="DE101">
        <v>20000</v>
      </c>
      <c r="DG101">
        <v>9</v>
      </c>
      <c r="DH101">
        <v>2000</v>
      </c>
      <c r="DJ101">
        <v>9</v>
      </c>
      <c r="DK101">
        <v>22000</v>
      </c>
      <c r="DR101" t="str">
        <v>ditarik</v>
      </c>
    </row>
    <row r="102">
      <c r="A102">
        <v>133</v>
      </c>
      <c r="B102" s="1">
        <v>45191</v>
      </c>
      <c r="C102" t="str">
        <v>0920220336</v>
      </c>
      <c r="D102" t="str">
        <v>Terace  Thrift / green car wash</v>
      </c>
      <c r="F102" t="str">
        <v>Jl.Cifor Raya</v>
      </c>
      <c r="G102" t="str">
        <v>Bubulak</v>
      </c>
      <c r="H102" t="str">
        <v>Bogor Barat</v>
      </c>
      <c r="I102" t="str">
        <v xml:space="preserve">Kota Bogor </v>
      </c>
      <c r="J102" t="str">
        <v>Jawa barat</v>
      </c>
      <c r="K102">
        <v>87884856678</v>
      </c>
      <c r="L102" t="str">
        <v>Publik</v>
      </c>
      <c r="M102" t="str">
        <v>Agus Tiarman</v>
      </c>
      <c r="N102" t="str">
        <v>non aktif</v>
      </c>
      <c r="BN102">
        <v>22</v>
      </c>
      <c r="BP102" t="str">
        <v>Penempatan</v>
      </c>
      <c r="BQ102">
        <v>27</v>
      </c>
      <c r="BR102">
        <v>17500</v>
      </c>
      <c r="BT102">
        <v>23</v>
      </c>
      <c r="BV102" t="str">
        <v>kosong</v>
      </c>
      <c r="BW102">
        <v>21</v>
      </c>
      <c r="BX102">
        <v>15000</v>
      </c>
      <c r="BZ102">
        <v>5</v>
      </c>
      <c r="CB102" t="str">
        <v>kosong</v>
      </c>
    </row>
    <row r="103">
      <c r="A103">
        <v>49</v>
      </c>
      <c r="B103" s="1">
        <v>45191</v>
      </c>
      <c r="C103" t="str">
        <v>0920220337</v>
      </c>
      <c r="D103" t="str">
        <v xml:space="preserve">TKIT Djasmine </v>
      </c>
      <c r="F103" t="str">
        <v>Jl.Cifor Raya Rt 01 Rw 07</v>
      </c>
      <c r="G103" t="str">
        <v>Bubulak</v>
      </c>
      <c r="H103" t="str">
        <v>Bogor Barat</v>
      </c>
      <c r="I103" t="str">
        <v xml:space="preserve">Kota Bogor </v>
      </c>
      <c r="J103" t="str">
        <v>Jawa barat</v>
      </c>
      <c r="K103">
        <v>81617598212</v>
      </c>
      <c r="L103" t="str">
        <v xml:space="preserve">Home </v>
      </c>
      <c r="M103" t="str">
        <v>Agus Tiarman</v>
      </c>
      <c r="N103" t="str">
        <v>aktif</v>
      </c>
      <c r="BN103">
        <v>22</v>
      </c>
      <c r="BP103" t="str">
        <v>Penempatan</v>
      </c>
      <c r="BQ103">
        <v>27</v>
      </c>
      <c r="BR103">
        <v>62000</v>
      </c>
      <c r="BT103">
        <v>24</v>
      </c>
      <c r="BU103">
        <v>40000</v>
      </c>
      <c r="BW103">
        <v>22</v>
      </c>
      <c r="BX103">
        <v>40000</v>
      </c>
      <c r="BZ103">
        <v>5</v>
      </c>
      <c r="CB103" t="str">
        <v>kosong</v>
      </c>
      <c r="CC103">
        <v>6</v>
      </c>
      <c r="CD103">
        <v>45000</v>
      </c>
      <c r="CF103">
        <v>6</v>
      </c>
      <c r="CG103">
        <v>54000</v>
      </c>
      <c r="CI103">
        <v>26</v>
      </c>
      <c r="CJ103">
        <v>10000</v>
      </c>
      <c r="CL103">
        <v>27</v>
      </c>
      <c r="CM103">
        <v>19500</v>
      </c>
      <c r="CU103">
        <v>23</v>
      </c>
      <c r="CV103">
        <v>15000</v>
      </c>
      <c r="DA103">
        <v>18</v>
      </c>
      <c r="DB103">
        <v>31000</v>
      </c>
      <c r="DG103">
        <v>12</v>
      </c>
      <c r="DH103">
        <v>20000</v>
      </c>
      <c r="DM103">
        <v>11</v>
      </c>
      <c r="DO103" t="str">
        <v>kosong</v>
      </c>
      <c r="DP103">
        <v>20</v>
      </c>
      <c r="DR103" t="str">
        <v>kosong</v>
      </c>
      <c r="DS103">
        <v>23</v>
      </c>
      <c r="DT103">
        <v>32500</v>
      </c>
      <c r="DY103">
        <v>13</v>
      </c>
      <c r="DZ103">
        <v>22000</v>
      </c>
      <c r="EK103">
        <v>10</v>
      </c>
      <c r="EL103">
        <v>33000</v>
      </c>
    </row>
    <row r="104">
      <c r="A104">
        <v>135</v>
      </c>
      <c r="B104" s="1">
        <v>45191</v>
      </c>
      <c r="C104" t="str">
        <v>0920220338</v>
      </c>
      <c r="D104" t="str">
        <v>TKIT An Nurriyah</v>
      </c>
      <c r="F104" t="str">
        <v>Jl.Sindang barang, H&gt;Naman</v>
      </c>
      <c r="G104" t="str">
        <v>Sindang Barang</v>
      </c>
      <c r="H104" t="str">
        <v>Bogor Barat</v>
      </c>
      <c r="I104" t="str">
        <v xml:space="preserve">Kota Bogor </v>
      </c>
      <c r="J104" t="str">
        <v>Jawa barat</v>
      </c>
      <c r="K104">
        <v>85719441980</v>
      </c>
      <c r="L104" t="str">
        <v xml:space="preserve">Home </v>
      </c>
      <c r="M104" t="str">
        <v>Agus Tiarman</v>
      </c>
      <c r="N104" t="str">
        <v>non aktif</v>
      </c>
      <c r="BN104">
        <v>22</v>
      </c>
      <c r="BP104" t="str">
        <v>Penempatan</v>
      </c>
      <c r="BQ104">
        <v>23</v>
      </c>
      <c r="BR104">
        <v>65000</v>
      </c>
      <c r="BW104">
        <v>23</v>
      </c>
      <c r="BY104" t="str">
        <v>kosong</v>
      </c>
      <c r="BZ104">
        <v>18</v>
      </c>
      <c r="CA104">
        <v>8200</v>
      </c>
    </row>
    <row r="105">
      <c r="A105">
        <v>136</v>
      </c>
      <c r="B105" s="1">
        <v>45191</v>
      </c>
      <c r="C105" t="str">
        <v>0920220339</v>
      </c>
      <c r="D105" t="str">
        <v>Angkringan Juragan Cifor</v>
      </c>
      <c r="F105" t="str">
        <v xml:space="preserve">Jl .Cifor Raya </v>
      </c>
      <c r="G105" t="str">
        <v>Bubulak</v>
      </c>
      <c r="H105" t="str">
        <v>Bogor Barat</v>
      </c>
      <c r="I105" t="str">
        <v xml:space="preserve">Kota Bogor </v>
      </c>
      <c r="J105" t="str">
        <v>Jawa barat</v>
      </c>
      <c r="K105">
        <v>81389200545</v>
      </c>
      <c r="L105" t="str">
        <v>Publik</v>
      </c>
      <c r="M105" t="str">
        <v>Agus Tiarman</v>
      </c>
      <c r="N105" t="str">
        <v>non aktif</v>
      </c>
      <c r="BN105">
        <v>22</v>
      </c>
      <c r="BP105" t="str">
        <v>Penempatan</v>
      </c>
      <c r="BQ105">
        <v>27</v>
      </c>
      <c r="BS105" t="str">
        <v>kosong</v>
      </c>
      <c r="BT105">
        <v>23</v>
      </c>
      <c r="BV105" t="str">
        <v>kosong</v>
      </c>
      <c r="BW105">
        <v>23</v>
      </c>
      <c r="BY105" t="str">
        <v>kosong</v>
      </c>
      <c r="BZ105">
        <v>5</v>
      </c>
      <c r="CB105" t="str">
        <v>kosong</v>
      </c>
      <c r="CC105">
        <v>8</v>
      </c>
      <c r="CE105" t="str">
        <v>kosong</v>
      </c>
    </row>
    <row r="106">
      <c r="A106">
        <v>50</v>
      </c>
      <c r="B106" s="1">
        <v>45194</v>
      </c>
      <c r="C106" t="str">
        <v>0920220340</v>
      </c>
      <c r="D106" t="str">
        <v>Toko Buku Kharisma</v>
      </c>
      <c r="F106" t="str">
        <v>Jl. Mayjen Ishaq Juarsa</v>
      </c>
      <c r="G106" t="str">
        <v>Gunung batu</v>
      </c>
      <c r="H106" t="str">
        <v>Bogor Barat</v>
      </c>
      <c r="I106" t="str">
        <v xml:space="preserve">Kota Bogor </v>
      </c>
      <c r="J106" t="str">
        <v>Jawa barat</v>
      </c>
      <c r="K106" t="str">
        <v>0812 9666 6151</v>
      </c>
      <c r="L106" t="str">
        <v>Publik</v>
      </c>
      <c r="M106" t="str">
        <v>Agus Tiarman</v>
      </c>
      <c r="N106" t="str">
        <v>aktif</v>
      </c>
      <c r="BN106">
        <v>25</v>
      </c>
      <c r="BP106" t="str">
        <v>Penempatan</v>
      </c>
      <c r="BT106">
        <v>22</v>
      </c>
      <c r="BU106">
        <v>101500</v>
      </c>
      <c r="BW106">
        <v>27</v>
      </c>
      <c r="BX106">
        <v>101500</v>
      </c>
      <c r="BZ106">
        <v>25</v>
      </c>
      <c r="CA106">
        <v>102000</v>
      </c>
      <c r="CC106">
        <v>8</v>
      </c>
      <c r="CD106">
        <v>100500</v>
      </c>
      <c r="CF106">
        <v>8</v>
      </c>
      <c r="CG106">
        <v>102500</v>
      </c>
      <c r="CI106">
        <v>26</v>
      </c>
      <c r="CJ106">
        <v>101000</v>
      </c>
      <c r="CL106">
        <v>24</v>
      </c>
      <c r="CM106">
        <v>100000</v>
      </c>
      <c r="CO106">
        <v>24</v>
      </c>
      <c r="CP106">
        <v>102500</v>
      </c>
      <c r="CR106">
        <v>24</v>
      </c>
      <c r="CS106">
        <v>101000</v>
      </c>
      <c r="CU106">
        <v>23</v>
      </c>
      <c r="CV106">
        <v>100000</v>
      </c>
      <c r="CX106">
        <v>23</v>
      </c>
      <c r="CY106">
        <v>104000</v>
      </c>
      <c r="DA106">
        <v>23</v>
      </c>
      <c r="DB106">
        <v>101000</v>
      </c>
      <c r="DD106">
        <v>25</v>
      </c>
      <c r="DE106">
        <v>100000</v>
      </c>
      <c r="DG106">
        <v>23</v>
      </c>
      <c r="DH106">
        <v>101000</v>
      </c>
      <c r="DJ106">
        <v>23</v>
      </c>
      <c r="DK106">
        <v>108000</v>
      </c>
      <c r="DM106">
        <v>24</v>
      </c>
      <c r="DN106">
        <v>101000</v>
      </c>
      <c r="DP106">
        <v>24</v>
      </c>
      <c r="DQ106">
        <v>105500</v>
      </c>
      <c r="DS106">
        <v>23</v>
      </c>
      <c r="DT106">
        <v>112000</v>
      </c>
      <c r="DV106">
        <v>23</v>
      </c>
      <c r="DW106">
        <v>104000</v>
      </c>
      <c r="DY106">
        <v>23</v>
      </c>
      <c r="DZ106">
        <v>103500</v>
      </c>
      <c r="EB106">
        <v>23</v>
      </c>
      <c r="EC106">
        <v>107500</v>
      </c>
      <c r="EE106">
        <v>25</v>
      </c>
      <c r="EF106">
        <v>115000</v>
      </c>
      <c r="EH106">
        <v>23</v>
      </c>
      <c r="EI106">
        <v>101000</v>
      </c>
      <c r="EK106">
        <v>23</v>
      </c>
      <c r="EL106">
        <v>105000</v>
      </c>
      <c r="EN106">
        <v>24</v>
      </c>
      <c r="EO106">
        <v>102000</v>
      </c>
    </row>
    <row r="107">
      <c r="A107">
        <v>51</v>
      </c>
      <c r="B107" s="1">
        <v>45195</v>
      </c>
      <c r="C107" t="str">
        <v>0920220341</v>
      </c>
      <c r="D107" t="str">
        <v>Naswa Lubis (toko sayur)</v>
      </c>
      <c r="F107" t="str">
        <v>Jl. Ciherang Inpres</v>
      </c>
      <c r="G107" t="str">
        <v>Ciherang</v>
      </c>
      <c r="H107" t="str">
        <v xml:space="preserve">Dramaga </v>
      </c>
      <c r="I107" t="str">
        <v>Kab Bogor</v>
      </c>
      <c r="J107" t="str">
        <v>Jawa barat</v>
      </c>
      <c r="L107" t="str">
        <v>Publik</v>
      </c>
      <c r="M107" t="str">
        <v>Agus Tiarman</v>
      </c>
      <c r="N107" t="str">
        <v>aktif</v>
      </c>
      <c r="BN107">
        <v>26</v>
      </c>
      <c r="BP107" t="str">
        <v>Penempatan</v>
      </c>
      <c r="BQ107">
        <v>27</v>
      </c>
      <c r="BS107" t="str">
        <v>kosong</v>
      </c>
      <c r="BT107">
        <v>10</v>
      </c>
      <c r="BV107" t="str">
        <v>kosong</v>
      </c>
      <c r="BW107">
        <v>23</v>
      </c>
      <c r="BY107" t="str">
        <v>kosong</v>
      </c>
      <c r="BZ107">
        <v>9</v>
      </c>
      <c r="CA107">
        <v>3000</v>
      </c>
      <c r="CN107" t="str">
        <v>belom ketemu</v>
      </c>
      <c r="CQ107" t="str">
        <v>belom ketemu</v>
      </c>
      <c r="CR107">
        <v>3</v>
      </c>
      <c r="CS107">
        <v>7500</v>
      </c>
      <c r="CW107" t="str">
        <v>kosong</v>
      </c>
      <c r="CX107">
        <v>10</v>
      </c>
      <c r="CY107">
        <v>6500</v>
      </c>
      <c r="DC107" t="str">
        <v>kosong</v>
      </c>
      <c r="DG107">
        <v>5</v>
      </c>
      <c r="DH107">
        <v>2000</v>
      </c>
      <c r="DJ107">
        <v>10</v>
      </c>
      <c r="DK107">
        <v>12000</v>
      </c>
      <c r="DM107">
        <v>10</v>
      </c>
      <c r="DN107">
        <v>3000</v>
      </c>
      <c r="DP107">
        <v>5</v>
      </c>
      <c r="DQ107">
        <v>7000</v>
      </c>
      <c r="DS107">
        <v>14</v>
      </c>
      <c r="DT107">
        <v>4500</v>
      </c>
      <c r="DV107">
        <v>5</v>
      </c>
      <c r="DX107" t="str">
        <v>kosong</v>
      </c>
      <c r="DY107">
        <v>27</v>
      </c>
      <c r="DZ107">
        <v>20500</v>
      </c>
      <c r="EB107">
        <v>14</v>
      </c>
      <c r="EC107">
        <v>5000</v>
      </c>
      <c r="EE107">
        <v>14</v>
      </c>
      <c r="EF107">
        <v>15500</v>
      </c>
      <c r="EH107">
        <v>10</v>
      </c>
      <c r="EI107">
        <v>13500</v>
      </c>
      <c r="EK107">
        <v>9</v>
      </c>
      <c r="EM107" t="str">
        <v>kosong</v>
      </c>
      <c r="EN107">
        <v>12</v>
      </c>
      <c r="EO107">
        <v>5500</v>
      </c>
      <c r="EQ107">
        <v>9</v>
      </c>
      <c r="ES107" t="str">
        <v>kosong</v>
      </c>
    </row>
    <row r="108">
      <c r="A108">
        <v>64</v>
      </c>
      <c r="B108" s="1">
        <v>45195</v>
      </c>
      <c r="C108" t="str">
        <v>0920220342</v>
      </c>
      <c r="D108" t="str">
        <v>Toko kelontong Dina</v>
      </c>
      <c r="F108" t="str">
        <v>Jl. Ciherang Inpres</v>
      </c>
      <c r="G108" t="str">
        <v>Ciherang</v>
      </c>
      <c r="H108" t="str">
        <v xml:space="preserve">Dramaga </v>
      </c>
      <c r="I108" t="str">
        <v>Kab Bogor</v>
      </c>
      <c r="J108" t="str">
        <v>Jawa barat</v>
      </c>
      <c r="K108" t="str">
        <v>0823 3563 2977</v>
      </c>
      <c r="L108" t="str">
        <v>Publik</v>
      </c>
      <c r="M108" t="str">
        <v>Agus Tiarman</v>
      </c>
      <c r="N108" t="str">
        <v>non aktif</v>
      </c>
      <c r="BN108">
        <v>26</v>
      </c>
      <c r="BP108" t="str">
        <v>Penempatan</v>
      </c>
      <c r="BQ108">
        <v>25</v>
      </c>
      <c r="BR108">
        <v>32000</v>
      </c>
      <c r="BT108">
        <v>9</v>
      </c>
      <c r="BU108">
        <v>5000</v>
      </c>
      <c r="BW108">
        <v>14</v>
      </c>
      <c r="BX108">
        <v>13000</v>
      </c>
      <c r="BZ108">
        <v>9</v>
      </c>
      <c r="CA108">
        <v>18000</v>
      </c>
      <c r="CN108" t="str">
        <v>belom ketemu</v>
      </c>
      <c r="CQ108" t="str">
        <v>belom ketemu</v>
      </c>
      <c r="CR108">
        <v>3</v>
      </c>
      <c r="CS108">
        <v>42000</v>
      </c>
      <c r="CU108">
        <v>7</v>
      </c>
      <c r="CV108">
        <v>10000</v>
      </c>
      <c r="CX108">
        <v>10</v>
      </c>
      <c r="CY108">
        <v>2000</v>
      </c>
      <c r="DC108" t="str">
        <v>kosong</v>
      </c>
      <c r="DD108">
        <v>12</v>
      </c>
      <c r="DE108">
        <v>5000</v>
      </c>
      <c r="DG108">
        <v>5</v>
      </c>
      <c r="DH108">
        <v>2000</v>
      </c>
      <c r="DJ108">
        <v>10</v>
      </c>
      <c r="DK108">
        <v>2000</v>
      </c>
      <c r="DM108">
        <v>10</v>
      </c>
      <c r="DN108">
        <v>3500</v>
      </c>
      <c r="DP108">
        <v>5</v>
      </c>
      <c r="DR108" t="str">
        <v>ditarik</v>
      </c>
    </row>
    <row r="109">
      <c r="A109">
        <v>52</v>
      </c>
      <c r="B109" s="1">
        <v>45195</v>
      </c>
      <c r="C109" t="str">
        <v>0920220343</v>
      </c>
      <c r="D109" t="str">
        <v>Toko kelontong Amanah / zira keramik</v>
      </c>
      <c r="F109" t="str">
        <v xml:space="preserve">Jl. Lingkar dramaga </v>
      </c>
      <c r="G109" t="str">
        <v>Ciherang</v>
      </c>
      <c r="H109" t="str">
        <v xml:space="preserve">Dramaga </v>
      </c>
      <c r="I109" t="str">
        <v>Kab Bogor</v>
      </c>
      <c r="J109" t="str">
        <v>Jawa barat</v>
      </c>
      <c r="K109" t="str">
        <v>0812 9030 5880</v>
      </c>
      <c r="L109" t="str">
        <v>Publik</v>
      </c>
      <c r="M109" t="str">
        <v>Agus Tiarman</v>
      </c>
      <c r="N109" t="str">
        <v>aktif</v>
      </c>
      <c r="BN109">
        <v>26</v>
      </c>
      <c r="BP109" t="str">
        <v>Penempatan</v>
      </c>
      <c r="BQ109">
        <v>25</v>
      </c>
      <c r="BR109">
        <v>8000</v>
      </c>
      <c r="BT109">
        <v>10</v>
      </c>
      <c r="BV109" t="str">
        <v>kosong</v>
      </c>
      <c r="BW109">
        <v>23</v>
      </c>
      <c r="BY109" t="str">
        <v>kosong</v>
      </c>
      <c r="BZ109">
        <v>9</v>
      </c>
      <c r="CB109" t="str">
        <v>kosong</v>
      </c>
      <c r="CC109">
        <v>27</v>
      </c>
      <c r="CD109">
        <v>54000</v>
      </c>
      <c r="CF109">
        <v>25</v>
      </c>
      <c r="CG109">
        <v>55000</v>
      </c>
      <c r="CI109">
        <v>23</v>
      </c>
      <c r="CJ109">
        <v>56500</v>
      </c>
      <c r="CL109">
        <v>23</v>
      </c>
      <c r="CM109">
        <v>53000</v>
      </c>
      <c r="CO109">
        <v>25</v>
      </c>
      <c r="CP109">
        <v>41000</v>
      </c>
      <c r="CT109" t="str">
        <v>kosong</v>
      </c>
      <c r="CU109">
        <v>22</v>
      </c>
      <c r="CV109">
        <v>9000</v>
      </c>
      <c r="CX109">
        <v>24</v>
      </c>
      <c r="CY109">
        <v>2500</v>
      </c>
      <c r="DA109">
        <v>22</v>
      </c>
      <c r="DB109">
        <v>10000</v>
      </c>
      <c r="DD109">
        <v>19</v>
      </c>
      <c r="DE109">
        <v>20000</v>
      </c>
      <c r="DG109">
        <v>11</v>
      </c>
      <c r="DH109">
        <v>29000</v>
      </c>
      <c r="DJ109">
        <v>8</v>
      </c>
      <c r="DK109">
        <v>20000</v>
      </c>
      <c r="DM109">
        <v>12</v>
      </c>
      <c r="DN109">
        <v>29000</v>
      </c>
      <c r="DP109">
        <v>7</v>
      </c>
      <c r="DQ109">
        <v>21500</v>
      </c>
      <c r="DS109">
        <v>14</v>
      </c>
      <c r="DT109">
        <v>32000</v>
      </c>
      <c r="DV109">
        <v>19</v>
      </c>
      <c r="DW109">
        <v>21000</v>
      </c>
      <c r="DY109">
        <v>11</v>
      </c>
      <c r="DZ109">
        <v>5000</v>
      </c>
      <c r="EB109">
        <v>10</v>
      </c>
      <c r="EC109">
        <v>20000</v>
      </c>
      <c r="EE109">
        <v>7</v>
      </c>
      <c r="EG109" t="str">
        <v>kosong</v>
      </c>
      <c r="EH109">
        <v>10</v>
      </c>
      <c r="EI109">
        <v>14000</v>
      </c>
      <c r="EK109">
        <v>8</v>
      </c>
      <c r="EL109">
        <v>16000</v>
      </c>
      <c r="EN109">
        <v>7</v>
      </c>
      <c r="EO109">
        <v>9500</v>
      </c>
      <c r="EQ109">
        <v>5</v>
      </c>
      <c r="ER109">
        <v>33000</v>
      </c>
    </row>
    <row r="110">
      <c r="A110">
        <v>141</v>
      </c>
      <c r="B110" s="1">
        <v>45196</v>
      </c>
      <c r="C110" t="str">
        <v>0920220344</v>
      </c>
      <c r="D110" t="str">
        <v>House of Hayra</v>
      </c>
      <c r="F110" t="str">
        <v>Jl. Ibrahim Aji</v>
      </c>
      <c r="G110" t="str">
        <v>Sindang Barang</v>
      </c>
      <c r="H110" t="str">
        <v>Bogor Barat</v>
      </c>
      <c r="I110" t="str">
        <v xml:space="preserve">Kota Bogor </v>
      </c>
      <c r="J110" t="str">
        <v>Jawa barat</v>
      </c>
      <c r="K110" t="str">
        <v>0815 7474 2475</v>
      </c>
      <c r="L110" t="str">
        <v>Publik</v>
      </c>
      <c r="M110" t="str">
        <v>Agus Tiarman</v>
      </c>
      <c r="N110" t="str">
        <v>non aktif</v>
      </c>
      <c r="BN110">
        <v>27</v>
      </c>
      <c r="BP110" t="str">
        <v>Penempatan</v>
      </c>
      <c r="BQ110">
        <v>27</v>
      </c>
      <c r="BS110" t="str">
        <v>kosong</v>
      </c>
      <c r="BT110">
        <v>23</v>
      </c>
      <c r="BV110" t="str">
        <v>kosong</v>
      </c>
      <c r="BW110">
        <v>23</v>
      </c>
      <c r="BY110" t="str">
        <v>kosong</v>
      </c>
      <c r="BZ110">
        <v>18</v>
      </c>
      <c r="CB110" t="str">
        <v>kosong</v>
      </c>
      <c r="CC110">
        <v>11</v>
      </c>
      <c r="CE110" t="str">
        <v>kosong</v>
      </c>
    </row>
    <row r="111">
      <c r="A111">
        <v>53</v>
      </c>
      <c r="B111" s="1">
        <v>45196</v>
      </c>
      <c r="C111" t="str">
        <v>0920220345</v>
      </c>
      <c r="D111" t="str">
        <v>Najaa Bakery / kelontong/toko  pak Yana</v>
      </c>
      <c r="F111" t="str">
        <v xml:space="preserve">Jl. ishak Juarsa </v>
      </c>
      <c r="G111" t="str">
        <v>Loji</v>
      </c>
      <c r="H111" t="str">
        <v>Bogor Barat</v>
      </c>
      <c r="I111" t="str">
        <v xml:space="preserve">Kota Bogor </v>
      </c>
      <c r="J111" t="str">
        <v>Jawa barat</v>
      </c>
      <c r="K111" t="str">
        <v>0878 7080 7664</v>
      </c>
      <c r="L111" t="str">
        <v>Publik</v>
      </c>
      <c r="M111" t="str">
        <v>Agus Tiarman</v>
      </c>
      <c r="N111" t="str">
        <v>aktif</v>
      </c>
      <c r="BN111">
        <v>27</v>
      </c>
      <c r="BP111" t="str">
        <v>Penempatan</v>
      </c>
      <c r="BQ111">
        <v>30</v>
      </c>
      <c r="BR111">
        <v>3500</v>
      </c>
      <c r="BT111">
        <v>23</v>
      </c>
      <c r="BV111" t="str">
        <v>kosong</v>
      </c>
      <c r="BW111">
        <v>23</v>
      </c>
      <c r="BY111" t="str">
        <v>kosong</v>
      </c>
      <c r="BZ111">
        <v>10</v>
      </c>
      <c r="CB111" t="str">
        <v>kosong</v>
      </c>
      <c r="CC111">
        <v>8</v>
      </c>
      <c r="CD111">
        <v>11000</v>
      </c>
      <c r="CF111">
        <v>5</v>
      </c>
      <c r="CH111" t="str">
        <v>ada ibu2 yg kolek</v>
      </c>
      <c r="CI111">
        <v>18</v>
      </c>
      <c r="CJ111">
        <v>11000</v>
      </c>
      <c r="CL111">
        <v>8</v>
      </c>
      <c r="CM111">
        <v>2500</v>
      </c>
      <c r="CO111">
        <v>7</v>
      </c>
      <c r="CP111">
        <v>6000</v>
      </c>
      <c r="CR111">
        <v>10</v>
      </c>
      <c r="CS111">
        <v>2000</v>
      </c>
      <c r="CU111">
        <v>8</v>
      </c>
      <c r="CV111">
        <v>5000</v>
      </c>
      <c r="DD111">
        <v>6</v>
      </c>
      <c r="DE111">
        <v>12000</v>
      </c>
      <c r="DG111">
        <v>3</v>
      </c>
      <c r="DH111">
        <v>10000</v>
      </c>
      <c r="DJ111">
        <v>11</v>
      </c>
      <c r="DL111" t="str">
        <v>kosong</v>
      </c>
      <c r="DM111">
        <v>3</v>
      </c>
      <c r="DN111">
        <v>24500</v>
      </c>
      <c r="DP111">
        <v>3</v>
      </c>
      <c r="DQ111">
        <v>33500</v>
      </c>
      <c r="DS111">
        <v>23</v>
      </c>
      <c r="DT111">
        <v>5000</v>
      </c>
      <c r="DV111">
        <v>13</v>
      </c>
      <c r="DW111">
        <v>17000</v>
      </c>
      <c r="DY111">
        <v>3</v>
      </c>
      <c r="DZ111">
        <v>25000</v>
      </c>
      <c r="EB111">
        <v>2</v>
      </c>
      <c r="EC111">
        <v>27000</v>
      </c>
      <c r="EE111">
        <v>1</v>
      </c>
      <c r="EF111">
        <v>21000</v>
      </c>
      <c r="EH111">
        <v>1</v>
      </c>
      <c r="EI111">
        <v>22500</v>
      </c>
      <c r="EK111">
        <v>1</v>
      </c>
      <c r="EL111">
        <v>5000</v>
      </c>
      <c r="EN111">
        <v>3</v>
      </c>
      <c r="EO111">
        <v>26000</v>
      </c>
      <c r="EQ111">
        <v>2</v>
      </c>
      <c r="ER111">
        <v>7500</v>
      </c>
    </row>
    <row r="112">
      <c r="A112">
        <v>54</v>
      </c>
      <c r="B112" s="1">
        <v>45196</v>
      </c>
      <c r="C112" t="str">
        <v>0920220346</v>
      </c>
      <c r="D112" t="str">
        <v>Rumah Aqiqah</v>
      </c>
      <c r="F112" t="str">
        <v xml:space="preserve">Jl. Sindang Barang </v>
      </c>
      <c r="G112" t="str">
        <v>Sindang Barang</v>
      </c>
      <c r="H112" t="str">
        <v>Bogor Barat</v>
      </c>
      <c r="I112" t="str">
        <v xml:space="preserve">Kota Bogor </v>
      </c>
      <c r="J112" t="str">
        <v>Jawa barat</v>
      </c>
      <c r="K112" t="str">
        <v>0851 8126 0606</v>
      </c>
      <c r="L112" t="str">
        <v>Publik</v>
      </c>
      <c r="M112" t="str">
        <v>Agus Tiarman</v>
      </c>
      <c r="N112" t="str">
        <v>aktif</v>
      </c>
      <c r="BN112">
        <v>27</v>
      </c>
      <c r="BP112" t="str">
        <v>Penempatan</v>
      </c>
      <c r="BQ112">
        <v>30</v>
      </c>
      <c r="BR112">
        <v>8000</v>
      </c>
      <c r="BT112">
        <v>27</v>
      </c>
      <c r="BU112">
        <v>10500</v>
      </c>
      <c r="BW112">
        <v>27</v>
      </c>
      <c r="BX112">
        <v>3500</v>
      </c>
      <c r="BZ112">
        <v>22</v>
      </c>
      <c r="CA112">
        <v>20000</v>
      </c>
      <c r="CC112">
        <v>6</v>
      </c>
      <c r="CD112">
        <v>10500</v>
      </c>
      <c r="CF112">
        <v>7</v>
      </c>
      <c r="CG112">
        <v>10000</v>
      </c>
      <c r="CI112">
        <v>3</v>
      </c>
      <c r="CJ112">
        <v>50000</v>
      </c>
      <c r="CL112">
        <v>7</v>
      </c>
      <c r="CM112">
        <v>3500</v>
      </c>
      <c r="CO112">
        <v>5</v>
      </c>
      <c r="CP112">
        <v>12000</v>
      </c>
      <c r="CR112">
        <v>8</v>
      </c>
      <c r="CS112">
        <v>22000</v>
      </c>
      <c r="CU112">
        <v>8</v>
      </c>
      <c r="CV112">
        <v>24500</v>
      </c>
      <c r="CX112">
        <v>4</v>
      </c>
      <c r="CY112">
        <v>17000</v>
      </c>
      <c r="DA112">
        <v>7</v>
      </c>
      <c r="DB112">
        <v>33000</v>
      </c>
      <c r="DD112">
        <v>6</v>
      </c>
      <c r="DE112">
        <v>27000</v>
      </c>
      <c r="DG112">
        <v>4</v>
      </c>
      <c r="DH112">
        <v>29000</v>
      </c>
      <c r="DI112" t="str">
        <v>k</v>
      </c>
      <c r="DJ112">
        <v>2</v>
      </c>
      <c r="DK112">
        <v>19000</v>
      </c>
      <c r="DM112">
        <v>6</v>
      </c>
      <c r="DN112">
        <v>14000</v>
      </c>
      <c r="DP112">
        <v>4</v>
      </c>
      <c r="DQ112">
        <v>35000</v>
      </c>
      <c r="DS112">
        <v>9</v>
      </c>
      <c r="DT112">
        <v>13000</v>
      </c>
      <c r="DV112">
        <v>21</v>
      </c>
      <c r="DW112">
        <v>25000</v>
      </c>
      <c r="DY112">
        <v>23</v>
      </c>
      <c r="DZ112">
        <v>10000</v>
      </c>
      <c r="EB112">
        <v>18</v>
      </c>
      <c r="EC112">
        <v>13000</v>
      </c>
      <c r="EE112">
        <v>25</v>
      </c>
      <c r="EF112">
        <v>36000</v>
      </c>
      <c r="EH112">
        <v>18</v>
      </c>
      <c r="EJ112" t="str">
        <v>kosong</v>
      </c>
      <c r="EK112">
        <v>14</v>
      </c>
      <c r="EL112">
        <v>27000</v>
      </c>
      <c r="EN112">
        <v>12</v>
      </c>
      <c r="EO112">
        <v>30000</v>
      </c>
    </row>
    <row r="113">
      <c r="A113">
        <v>55</v>
      </c>
      <c r="B113" s="1">
        <v>45197</v>
      </c>
      <c r="C113" t="str">
        <v>0920220347</v>
      </c>
      <c r="D113" t="str">
        <v>Ibu Dede Bimba AIUEO gunung batu</v>
      </c>
      <c r="F113" t="str">
        <v>Jl. Gunung Batu</v>
      </c>
      <c r="G113" t="str">
        <v>Gunung batu</v>
      </c>
      <c r="H113" t="str">
        <v>Bogor Barat</v>
      </c>
      <c r="I113" t="str">
        <v xml:space="preserve">Kota Bogor </v>
      </c>
      <c r="J113" t="str">
        <v>Jawa barat</v>
      </c>
      <c r="K113" t="str">
        <v>0856 9736 6697</v>
      </c>
      <c r="L113" t="str">
        <v>Publik</v>
      </c>
      <c r="M113" t="str">
        <v>Agus Tiarman</v>
      </c>
      <c r="N113" t="str">
        <v>aktif</v>
      </c>
      <c r="BN113">
        <v>27</v>
      </c>
      <c r="BP113" t="str">
        <v>Penempatan</v>
      </c>
      <c r="BQ113">
        <v>30</v>
      </c>
      <c r="BR113">
        <v>9000</v>
      </c>
      <c r="BT113">
        <v>23</v>
      </c>
      <c r="BV113" t="str">
        <v>kosong</v>
      </c>
      <c r="BW113">
        <v>23</v>
      </c>
      <c r="BY113" t="str">
        <v>kosong</v>
      </c>
      <c r="CC113">
        <v>8</v>
      </c>
      <c r="CE113" t="str">
        <v>kosong</v>
      </c>
      <c r="CI113">
        <v>30</v>
      </c>
      <c r="CJ113">
        <v>50000</v>
      </c>
      <c r="CQ113" t="str">
        <v>kosong</v>
      </c>
      <c r="CR113">
        <v>24</v>
      </c>
      <c r="CS113">
        <v>7000</v>
      </c>
      <c r="CW113" t="str">
        <v>kosong</v>
      </c>
      <c r="DA113">
        <v>9</v>
      </c>
      <c r="DB113">
        <v>25000</v>
      </c>
      <c r="DG113">
        <v>11</v>
      </c>
      <c r="DI113" t="str">
        <v>kosonh</v>
      </c>
      <c r="DJ113">
        <v>8</v>
      </c>
      <c r="DK113">
        <v>21500</v>
      </c>
      <c r="DM113">
        <v>4</v>
      </c>
      <c r="DN113">
        <v>20000</v>
      </c>
      <c r="DP113">
        <v>6</v>
      </c>
      <c r="DQ113">
        <v>50000</v>
      </c>
      <c r="DS113">
        <v>22</v>
      </c>
      <c r="DT113">
        <v>15000</v>
      </c>
      <c r="DV113">
        <v>19</v>
      </c>
      <c r="DW113">
        <v>10000</v>
      </c>
      <c r="DY113">
        <v>11</v>
      </c>
      <c r="DZ113">
        <v>20000</v>
      </c>
      <c r="EB113">
        <v>9</v>
      </c>
      <c r="EC113">
        <v>20000</v>
      </c>
      <c r="EE113">
        <v>5</v>
      </c>
      <c r="EF113">
        <v>20000</v>
      </c>
      <c r="EH113">
        <v>4</v>
      </c>
      <c r="EI113">
        <v>20000</v>
      </c>
      <c r="EK113">
        <v>6</v>
      </c>
      <c r="EL113">
        <v>20000</v>
      </c>
      <c r="EN113">
        <v>6</v>
      </c>
      <c r="EO113">
        <v>20000</v>
      </c>
      <c r="EQ113">
        <v>8</v>
      </c>
      <c r="ER113">
        <v>20000</v>
      </c>
    </row>
    <row r="114">
      <c r="A114">
        <v>69</v>
      </c>
      <c r="B114" s="1">
        <v>45194</v>
      </c>
      <c r="C114" t="str">
        <v>0920220348</v>
      </c>
      <c r="D114" t="str">
        <v>TKIT Bunaya/ mt mutmainah</v>
      </c>
      <c r="F114" t="str">
        <v>Jl.Letjen  Ibrahim Ajdji ,loji</v>
      </c>
      <c r="G114" t="str">
        <v>Sindang Barang</v>
      </c>
      <c r="H114" t="str">
        <v>Bogor Barat</v>
      </c>
      <c r="I114" t="str">
        <v xml:space="preserve">Kota Bogor </v>
      </c>
      <c r="J114" t="str">
        <v>Jawa barat</v>
      </c>
      <c r="K114">
        <v>81288603498</v>
      </c>
      <c r="L114" t="str">
        <v>Publik</v>
      </c>
      <c r="M114" t="str">
        <v>Agus Tiarman</v>
      </c>
      <c r="N114" t="str">
        <v>aktif</v>
      </c>
      <c r="BN114">
        <v>25</v>
      </c>
      <c r="BP114" t="str">
        <v>Penempatan</v>
      </c>
      <c r="BQ114">
        <v>25</v>
      </c>
      <c r="BR114">
        <v>50000</v>
      </c>
      <c r="BT114">
        <v>22</v>
      </c>
      <c r="BU114">
        <v>84000</v>
      </c>
      <c r="BW114">
        <v>23</v>
      </c>
      <c r="BY114" t="str">
        <v>kosong</v>
      </c>
      <c r="BZ114">
        <v>18</v>
      </c>
      <c r="CA114">
        <v>10000</v>
      </c>
      <c r="CC114">
        <v>8</v>
      </c>
      <c r="CE114" t="str">
        <v>kosong</v>
      </c>
      <c r="CF114">
        <v>7</v>
      </c>
      <c r="CG114">
        <v>59000</v>
      </c>
      <c r="CI114">
        <v>29</v>
      </c>
      <c r="CJ114">
        <v>132000</v>
      </c>
      <c r="CN114" t="str">
        <v>kosong</v>
      </c>
      <c r="CQ114" t="str">
        <v>kosong</v>
      </c>
      <c r="CR114">
        <v>25</v>
      </c>
      <c r="CS114">
        <v>25500</v>
      </c>
      <c r="CX114">
        <v>28</v>
      </c>
      <c r="CY114">
        <v>50000</v>
      </c>
      <c r="DA114">
        <v>22</v>
      </c>
      <c r="DB114">
        <v>10500</v>
      </c>
      <c r="DD114">
        <v>25</v>
      </c>
      <c r="DE114">
        <v>74000</v>
      </c>
      <c r="DG114">
        <v>2</v>
      </c>
      <c r="DH114">
        <v>17000</v>
      </c>
      <c r="DJ114">
        <v>21</v>
      </c>
      <c r="DL114" t="str">
        <v>kosong</v>
      </c>
      <c r="DM114">
        <v>24</v>
      </c>
      <c r="DO114" t="str">
        <v>kosong</v>
      </c>
      <c r="DP114">
        <v>18</v>
      </c>
      <c r="DR114" t="str">
        <v>kosong</v>
      </c>
      <c r="DU114" t="str">
        <v>kosong</v>
      </c>
      <c r="DV114">
        <v>21</v>
      </c>
      <c r="DX114" t="str">
        <v>kosong</v>
      </c>
      <c r="EA114" t="str">
        <v>libur</v>
      </c>
      <c r="ED114" t="str">
        <v>kosong</v>
      </c>
      <c r="EH114">
        <v>17</v>
      </c>
      <c r="EJ114" t="str">
        <v>ditarik</v>
      </c>
      <c r="EM114" t="str">
        <v>penempatan</v>
      </c>
      <c r="EN114">
        <v>29</v>
      </c>
      <c r="EO114">
        <v>20000</v>
      </c>
    </row>
    <row r="115">
      <c r="A115">
        <v>146</v>
      </c>
      <c r="B115" s="1">
        <v>45212</v>
      </c>
      <c r="C115" t="str">
        <v>0920220350</v>
      </c>
      <c r="D115" t="str">
        <v>Warung Sayur Sherly</v>
      </c>
      <c r="F115" t="str">
        <v>JL.Kartika (depan perumahan Kartika)</v>
      </c>
      <c r="G115" t="str">
        <v>Marga jaya</v>
      </c>
      <c r="H115" t="str">
        <v>Bogor Barat</v>
      </c>
      <c r="I115" t="str">
        <v xml:space="preserve">Kota Bogor </v>
      </c>
      <c r="J115" t="str">
        <v>Jawa barat</v>
      </c>
      <c r="L115" t="str">
        <v>Publik</v>
      </c>
      <c r="M115" t="str">
        <v>Agus Tiarman</v>
      </c>
      <c r="N115" t="str">
        <v>non aktif</v>
      </c>
      <c r="BS115" t="str">
        <v>penempatan</v>
      </c>
      <c r="BT115">
        <v>23</v>
      </c>
      <c r="BV115" t="str">
        <v>kosong</v>
      </c>
      <c r="BW115">
        <v>23</v>
      </c>
      <c r="BY115" t="str">
        <v>kosong</v>
      </c>
      <c r="BZ115">
        <v>17</v>
      </c>
      <c r="CB115" t="str">
        <v>kosong</v>
      </c>
      <c r="CC115">
        <v>17</v>
      </c>
      <c r="CE115" t="str">
        <v>kosong</v>
      </c>
      <c r="CQ115" t="str">
        <v>ditarik</v>
      </c>
    </row>
    <row r="116">
      <c r="A116">
        <v>147</v>
      </c>
      <c r="B116" s="1">
        <v>45212</v>
      </c>
      <c r="C116" t="str">
        <v>0920220351</v>
      </c>
      <c r="D116" t="str">
        <v>Toko Atakana / futura cafe</v>
      </c>
      <c r="F116" t="str">
        <v>JL.Batu hulung</v>
      </c>
      <c r="G116" t="str">
        <v>Marga jaya</v>
      </c>
      <c r="H116" t="str">
        <v>Bogor Barat</v>
      </c>
      <c r="I116" t="str">
        <v xml:space="preserve">Kota Bogor </v>
      </c>
      <c r="J116" t="str">
        <v>Jawa barat</v>
      </c>
      <c r="K116" t="str">
        <v>0821 12680394</v>
      </c>
      <c r="L116" t="str">
        <v>Publik</v>
      </c>
      <c r="M116" t="str">
        <v>Agus Tiarman</v>
      </c>
      <c r="N116" t="str">
        <v>non aktif</v>
      </c>
      <c r="BS116" t="str">
        <v>penempatan</v>
      </c>
      <c r="BT116">
        <v>23</v>
      </c>
      <c r="BV116" t="str">
        <v>kosong</v>
      </c>
      <c r="BZ116">
        <v>17</v>
      </c>
      <c r="CB116" t="str">
        <v>kosong</v>
      </c>
    </row>
    <row r="117">
      <c r="A117">
        <v>56</v>
      </c>
      <c r="B117" s="1">
        <v>45212</v>
      </c>
      <c r="C117" t="str">
        <v>0920220352</v>
      </c>
      <c r="D117" t="str">
        <v>Warung Sayur Martunis</v>
      </c>
      <c r="F117" t="str">
        <v>JL.Batu hulung</v>
      </c>
      <c r="G117" t="str">
        <v>Marga jaya</v>
      </c>
      <c r="H117" t="str">
        <v>Bogor Barat</v>
      </c>
      <c r="I117" t="str">
        <v xml:space="preserve">Kota Bogor </v>
      </c>
      <c r="J117" t="str">
        <v>Jawa barat</v>
      </c>
      <c r="K117" t="str">
        <v>0821 13575728</v>
      </c>
      <c r="L117" t="str">
        <v>Publik</v>
      </c>
      <c r="M117" t="str">
        <v>Agus Tiarman</v>
      </c>
      <c r="N117" t="str">
        <v>aktif</v>
      </c>
      <c r="BS117" t="str">
        <v>penempatan</v>
      </c>
      <c r="BT117">
        <v>13</v>
      </c>
      <c r="BU117">
        <v>7000</v>
      </c>
      <c r="BW117">
        <v>14</v>
      </c>
      <c r="BX117">
        <v>8500</v>
      </c>
      <c r="BZ117">
        <v>17</v>
      </c>
      <c r="CA117">
        <v>15000</v>
      </c>
      <c r="CF117">
        <v>1</v>
      </c>
      <c r="CG117">
        <v>27000</v>
      </c>
      <c r="CI117">
        <v>1</v>
      </c>
      <c r="CJ117">
        <v>29000</v>
      </c>
      <c r="CO117">
        <v>7</v>
      </c>
      <c r="CP117">
        <v>45500</v>
      </c>
      <c r="CR117">
        <v>8</v>
      </c>
      <c r="CS117">
        <v>72000</v>
      </c>
      <c r="CU117">
        <v>6</v>
      </c>
      <c r="CV117">
        <v>35000</v>
      </c>
      <c r="CX117">
        <v>5</v>
      </c>
      <c r="CY117">
        <v>35000</v>
      </c>
      <c r="DA117">
        <v>9</v>
      </c>
      <c r="DB117">
        <v>11000</v>
      </c>
      <c r="DD117">
        <v>8</v>
      </c>
      <c r="DE117">
        <v>8000</v>
      </c>
      <c r="DG117">
        <v>6</v>
      </c>
      <c r="DH117">
        <v>37000</v>
      </c>
      <c r="DJ117">
        <v>7</v>
      </c>
      <c r="DK117">
        <v>5000</v>
      </c>
      <c r="DM117">
        <v>7</v>
      </c>
      <c r="DN117">
        <v>43000</v>
      </c>
      <c r="DP117">
        <v>5</v>
      </c>
      <c r="DQ117">
        <v>16000</v>
      </c>
      <c r="DS117">
        <v>10</v>
      </c>
      <c r="DT117">
        <v>32000</v>
      </c>
      <c r="DV117">
        <v>6</v>
      </c>
      <c r="DW117">
        <v>13000</v>
      </c>
      <c r="DY117">
        <v>5</v>
      </c>
      <c r="DZ117">
        <v>10500</v>
      </c>
      <c r="EB117">
        <v>7</v>
      </c>
      <c r="EC117">
        <v>19000</v>
      </c>
      <c r="EE117">
        <v>6</v>
      </c>
      <c r="EF117">
        <v>22000</v>
      </c>
      <c r="EH117">
        <v>3</v>
      </c>
      <c r="EI117">
        <v>16000</v>
      </c>
      <c r="EK117">
        <v>2</v>
      </c>
      <c r="EL117">
        <v>21000</v>
      </c>
      <c r="EN117">
        <v>5</v>
      </c>
      <c r="EO117">
        <v>9000</v>
      </c>
      <c r="EQ117">
        <v>4</v>
      </c>
      <c r="ER117">
        <v>15000</v>
      </c>
    </row>
    <row r="118">
      <c r="A118">
        <v>57</v>
      </c>
      <c r="B118" s="1">
        <v>45232</v>
      </c>
      <c r="C118" t="str">
        <v>0920220353</v>
      </c>
      <c r="D118" t="str">
        <v>Toko Sayur Tabarok (dkt komp. pertanian)/zahra</v>
      </c>
      <c r="F118" t="str">
        <v>Jl. Sindang Barang</v>
      </c>
      <c r="G118" t="str">
        <v>Sindang Barang</v>
      </c>
      <c r="H118" t="str">
        <v>Bogor Barat</v>
      </c>
      <c r="I118" t="str">
        <v xml:space="preserve">Kota Bogor </v>
      </c>
      <c r="J118" t="str">
        <v>Jawa barat</v>
      </c>
      <c r="K118" t="str">
        <v>0858 90795262</v>
      </c>
      <c r="L118" t="str">
        <v>Publik</v>
      </c>
      <c r="M118" t="str">
        <v>Agus Tiarman</v>
      </c>
      <c r="N118" t="str">
        <v>non aktif</v>
      </c>
      <c r="BT118">
        <v>2</v>
      </c>
      <c r="BV118" t="str">
        <v>penempatan</v>
      </c>
      <c r="BW118">
        <v>6</v>
      </c>
      <c r="BX118">
        <v>13000</v>
      </c>
      <c r="BZ118">
        <v>22</v>
      </c>
      <c r="CA118">
        <v>21300</v>
      </c>
      <c r="CC118">
        <v>8</v>
      </c>
      <c r="CD118">
        <v>6000</v>
      </c>
      <c r="CF118">
        <v>1</v>
      </c>
      <c r="CG118">
        <v>1000</v>
      </c>
      <c r="CI118">
        <v>19</v>
      </c>
      <c r="CJ118">
        <v>25000</v>
      </c>
      <c r="CL118">
        <v>8</v>
      </c>
      <c r="CM118">
        <v>10000</v>
      </c>
      <c r="CO118">
        <v>6</v>
      </c>
      <c r="CP118">
        <v>11000</v>
      </c>
      <c r="CR118">
        <v>8</v>
      </c>
      <c r="CS118">
        <v>8000</v>
      </c>
      <c r="CU118">
        <v>5</v>
      </c>
      <c r="CV118">
        <v>7500</v>
      </c>
      <c r="CX118">
        <v>4</v>
      </c>
      <c r="CY118">
        <v>11500</v>
      </c>
      <c r="DA118">
        <v>4</v>
      </c>
      <c r="DB118">
        <v>6000</v>
      </c>
      <c r="DD118">
        <v>6</v>
      </c>
      <c r="DE118">
        <v>5000</v>
      </c>
      <c r="DG118">
        <v>5</v>
      </c>
      <c r="DH118">
        <v>14000</v>
      </c>
      <c r="DY118">
        <v>10</v>
      </c>
      <c r="EA118" t="str">
        <v>kosong</v>
      </c>
      <c r="EJ118" t="str">
        <v>kosong</v>
      </c>
      <c r="EM118" t="str">
        <v>kosong-DITARIK</v>
      </c>
    </row>
    <row r="119">
      <c r="A119">
        <v>58</v>
      </c>
      <c r="B119" s="1">
        <v>45232</v>
      </c>
      <c r="C119" t="str">
        <v>0920220354</v>
      </c>
      <c r="D119" t="str">
        <v>Toko beras Sabil jaya</v>
      </c>
      <c r="F119" t="str">
        <v>Jl. Sindang Barang</v>
      </c>
      <c r="G119" t="str">
        <v>Sindang Barang</v>
      </c>
      <c r="H119" t="str">
        <v>Bogor Barat</v>
      </c>
      <c r="I119" t="str">
        <v xml:space="preserve">Kota Bogor </v>
      </c>
      <c r="J119" t="str">
        <v>Jawa barat</v>
      </c>
      <c r="K119" t="str">
        <v>0812 91765170</v>
      </c>
      <c r="L119" t="str">
        <v>Publik</v>
      </c>
      <c r="M119" t="str">
        <v>Agus Tiarman</v>
      </c>
      <c r="N119" t="str">
        <v>aktif</v>
      </c>
      <c r="BT119">
        <v>2</v>
      </c>
      <c r="BV119" t="str">
        <v>penempatan</v>
      </c>
      <c r="BW119">
        <v>6</v>
      </c>
      <c r="BX119">
        <v>23000</v>
      </c>
      <c r="BZ119">
        <v>5</v>
      </c>
      <c r="CA119">
        <v>10000</v>
      </c>
      <c r="CC119">
        <v>5</v>
      </c>
      <c r="CD119">
        <v>13500</v>
      </c>
      <c r="CF119">
        <v>4</v>
      </c>
      <c r="CH119" t="str">
        <v>kosong</v>
      </c>
      <c r="CI119">
        <v>18</v>
      </c>
      <c r="CJ119">
        <v>5000</v>
      </c>
      <c r="CL119">
        <v>16</v>
      </c>
      <c r="CM119">
        <v>12000</v>
      </c>
      <c r="CO119">
        <v>6</v>
      </c>
      <c r="CP119">
        <v>8500</v>
      </c>
      <c r="CR119">
        <v>15</v>
      </c>
      <c r="CS119">
        <v>26000</v>
      </c>
      <c r="CU119">
        <v>14</v>
      </c>
      <c r="CV119">
        <v>13000</v>
      </c>
      <c r="CX119">
        <v>23</v>
      </c>
      <c r="CY119">
        <v>10000</v>
      </c>
      <c r="DG119">
        <v>10</v>
      </c>
      <c r="DH119">
        <v>2000</v>
      </c>
      <c r="DJ119">
        <v>11</v>
      </c>
      <c r="DL119" t="str">
        <v>kosong</v>
      </c>
      <c r="DM119">
        <v>6</v>
      </c>
      <c r="DN119">
        <v>2000</v>
      </c>
      <c r="DP119">
        <v>20</v>
      </c>
      <c r="DQ119">
        <v>20000</v>
      </c>
      <c r="DU119" t="str">
        <v>kosong</v>
      </c>
      <c r="DV119">
        <v>7</v>
      </c>
      <c r="DW119">
        <v>10000</v>
      </c>
      <c r="DY119">
        <v>28</v>
      </c>
      <c r="EA119" t="str">
        <v>kosong</v>
      </c>
      <c r="EB119">
        <v>15</v>
      </c>
      <c r="EC119">
        <v>24000</v>
      </c>
      <c r="EE119">
        <v>15</v>
      </c>
      <c r="EF119">
        <v>8000</v>
      </c>
      <c r="EH119">
        <v>15</v>
      </c>
      <c r="EJ119" t="str">
        <v>kosong</v>
      </c>
      <c r="EK119">
        <v>2</v>
      </c>
      <c r="EL119">
        <v>15000</v>
      </c>
      <c r="EN119">
        <v>12</v>
      </c>
      <c r="EO119">
        <v>10500</v>
      </c>
    </row>
    <row r="120">
      <c r="A120">
        <v>73</v>
      </c>
      <c r="B120" s="1">
        <v>45232</v>
      </c>
      <c r="C120" t="str">
        <v>0920220355</v>
      </c>
      <c r="D120" t="str">
        <v>Toko kelontong Nova novi</v>
      </c>
      <c r="F120" t="str">
        <v>Jl. Sindang Barang</v>
      </c>
      <c r="G120" t="str">
        <v>Sindang Barang</v>
      </c>
      <c r="H120" t="str">
        <v>Bogor Barat</v>
      </c>
      <c r="I120" t="str">
        <v xml:space="preserve">Kota Bogor </v>
      </c>
      <c r="J120" t="str">
        <v>Jawa barat</v>
      </c>
      <c r="K120" t="str">
        <v>1038 51775953</v>
      </c>
      <c r="L120" t="str">
        <v>Publik</v>
      </c>
      <c r="M120" t="str">
        <v>Agus Tiarman</v>
      </c>
      <c r="N120" t="str">
        <v>non aktif</v>
      </c>
      <c r="BT120">
        <v>2</v>
      </c>
      <c r="BV120" t="str">
        <v>penempatan</v>
      </c>
      <c r="BW120">
        <v>23</v>
      </c>
      <c r="BY120" t="str">
        <v>kosong</v>
      </c>
      <c r="BZ120">
        <v>5</v>
      </c>
      <c r="CA120">
        <v>3000</v>
      </c>
      <c r="CC120">
        <v>29</v>
      </c>
      <c r="CD120">
        <v>2000</v>
      </c>
      <c r="CF120">
        <v>18</v>
      </c>
      <c r="CG120">
        <v>11000</v>
      </c>
      <c r="CI120">
        <v>19</v>
      </c>
      <c r="CJ120">
        <v>11000</v>
      </c>
      <c r="CL120">
        <v>16</v>
      </c>
      <c r="CM120">
        <v>29000</v>
      </c>
      <c r="CO120">
        <v>6</v>
      </c>
      <c r="CP120">
        <v>15500</v>
      </c>
      <c r="CR120">
        <v>8</v>
      </c>
      <c r="CS120">
        <v>18000</v>
      </c>
      <c r="CU120">
        <v>8</v>
      </c>
      <c r="CV120">
        <v>10000</v>
      </c>
      <c r="CX120">
        <v>4</v>
      </c>
      <c r="CY120">
        <v>10000</v>
      </c>
      <c r="DA120">
        <v>2</v>
      </c>
      <c r="DB120">
        <v>21000</v>
      </c>
      <c r="DD120">
        <v>6</v>
      </c>
      <c r="DE120">
        <v>11000</v>
      </c>
      <c r="DG120">
        <v>11</v>
      </c>
      <c r="DI120" t="str">
        <v>kosonh</v>
      </c>
      <c r="DJ120">
        <v>2</v>
      </c>
      <c r="DK120">
        <v>10000</v>
      </c>
      <c r="DM120">
        <v>4</v>
      </c>
      <c r="DN120">
        <v>11000</v>
      </c>
      <c r="DP120">
        <v>3</v>
      </c>
      <c r="DQ120">
        <v>10000</v>
      </c>
      <c r="DS120">
        <v>10</v>
      </c>
      <c r="DU120" t="str">
        <v>kosong</v>
      </c>
      <c r="DV120">
        <v>1</v>
      </c>
      <c r="DX120" t="str">
        <v>kosong</v>
      </c>
      <c r="DY120">
        <v>28</v>
      </c>
      <c r="EA120" t="str">
        <v>ditarik</v>
      </c>
    </row>
    <row r="121">
      <c r="A121">
        <v>152</v>
      </c>
      <c r="B121" s="1">
        <v>45233</v>
      </c>
      <c r="C121" t="str">
        <v>0920220356</v>
      </c>
      <c r="D121" t="str">
        <v>Naura  Foto copy</v>
      </c>
      <c r="F121" t="str">
        <v>Jl. Sindang Barang</v>
      </c>
      <c r="G121" t="str">
        <v>Sindang Barang</v>
      </c>
      <c r="H121" t="str">
        <v>Bogor Barat</v>
      </c>
      <c r="I121" t="str">
        <v xml:space="preserve">Kota Bogor </v>
      </c>
      <c r="J121" t="str">
        <v>Jawa barat</v>
      </c>
      <c r="K121">
        <v>82311719156</v>
      </c>
      <c r="L121" t="str">
        <v>Publik</v>
      </c>
      <c r="M121" t="str">
        <v>Agus Tiarman</v>
      </c>
      <c r="N121" t="str">
        <v>non aktif</v>
      </c>
      <c r="BT121">
        <v>3</v>
      </c>
      <c r="BV121" t="str">
        <v>penempatan</v>
      </c>
      <c r="BW121">
        <v>23</v>
      </c>
      <c r="BY121" t="str">
        <v>kosong</v>
      </c>
      <c r="BZ121">
        <v>10</v>
      </c>
      <c r="CB121" t="str">
        <v>kosong</v>
      </c>
      <c r="CC121">
        <v>2</v>
      </c>
      <c r="CD121">
        <v>2500</v>
      </c>
      <c r="CL121">
        <v>14</v>
      </c>
      <c r="CM121">
        <v>4000</v>
      </c>
      <c r="CQ121" t="str">
        <v>ditarik</v>
      </c>
    </row>
    <row r="122">
      <c r="A122">
        <v>59</v>
      </c>
      <c r="B122" s="1">
        <v>45233</v>
      </c>
      <c r="C122" t="str">
        <v>0920220357</v>
      </c>
      <c r="D122" t="str">
        <v>toko es krim Aish Cream/Warung Bu Heni</v>
      </c>
      <c r="F122" t="str">
        <v>Jl. Sindang Barang</v>
      </c>
      <c r="G122" t="str">
        <v>Sindang Barang</v>
      </c>
      <c r="H122" t="str">
        <v>Bogor Barat</v>
      </c>
      <c r="I122" t="str">
        <v xml:space="preserve">Kota Bogor </v>
      </c>
      <c r="J122" t="str">
        <v>Jawa barat</v>
      </c>
      <c r="K122">
        <v>87844681221</v>
      </c>
      <c r="L122" t="str">
        <v>Publik</v>
      </c>
      <c r="M122" t="str">
        <v>Agus Tiarman</v>
      </c>
      <c r="N122" t="str">
        <v>aktif</v>
      </c>
      <c r="BT122">
        <v>3</v>
      </c>
      <c r="BV122" t="str">
        <v>penempatan</v>
      </c>
      <c r="BW122">
        <v>23</v>
      </c>
      <c r="BY122" t="str">
        <v>kosong</v>
      </c>
      <c r="BZ122">
        <v>10</v>
      </c>
      <c r="CB122" t="str">
        <v>kosong</v>
      </c>
      <c r="CC122">
        <v>28</v>
      </c>
      <c r="CD122">
        <v>3000</v>
      </c>
      <c r="CQ122" t="str">
        <v>kosong</v>
      </c>
      <c r="CR122">
        <v>26</v>
      </c>
      <c r="CS122">
        <v>10000</v>
      </c>
      <c r="DM122">
        <v>3</v>
      </c>
      <c r="DN122">
        <v>7000</v>
      </c>
      <c r="DP122">
        <v>3</v>
      </c>
      <c r="DR122" t="str">
        <v>kosong</v>
      </c>
      <c r="DS122">
        <v>22</v>
      </c>
      <c r="DT122">
        <v>18000</v>
      </c>
      <c r="EA122" t="str">
        <v>tutup</v>
      </c>
      <c r="EB122">
        <v>1</v>
      </c>
      <c r="ED122" t="str">
        <v>kosong</v>
      </c>
      <c r="EG122" t="str">
        <v>tutup</v>
      </c>
      <c r="EH122">
        <v>2</v>
      </c>
      <c r="EI122">
        <v>8500</v>
      </c>
      <c r="EN122">
        <v>3</v>
      </c>
      <c r="EO122">
        <v>7000</v>
      </c>
    </row>
    <row r="123">
      <c r="A123">
        <v>154</v>
      </c>
      <c r="B123" s="1">
        <v>45233</v>
      </c>
      <c r="C123" t="str">
        <v>0920220358</v>
      </c>
      <c r="D123" t="str">
        <v>Toko kelontong Sejahtera</v>
      </c>
      <c r="F123" t="str">
        <v>Jl. Sindang Barang</v>
      </c>
      <c r="G123" t="str">
        <v>Sindang Barang</v>
      </c>
      <c r="H123" t="str">
        <v>Bogor Barat</v>
      </c>
      <c r="I123" t="str">
        <v xml:space="preserve">Kota Bogor </v>
      </c>
      <c r="J123" t="str">
        <v>Jawa barat</v>
      </c>
      <c r="K123">
        <v>81360008675</v>
      </c>
      <c r="L123" t="str">
        <v>Publik</v>
      </c>
      <c r="M123" t="str">
        <v>Agus Tiarman</v>
      </c>
      <c r="N123" t="str">
        <v>non aktif</v>
      </c>
      <c r="BT123">
        <v>3</v>
      </c>
      <c r="BV123" t="str">
        <v>penempatan</v>
      </c>
      <c r="BW123">
        <v>23</v>
      </c>
      <c r="BY123" t="str">
        <v>kosong</v>
      </c>
      <c r="BZ123">
        <v>10</v>
      </c>
      <c r="CB123" t="str">
        <v>kosong</v>
      </c>
      <c r="CC123">
        <v>2</v>
      </c>
      <c r="CD123">
        <v>16000</v>
      </c>
      <c r="CF123">
        <v>13</v>
      </c>
      <c r="CH123" t="str">
        <v>kosong</v>
      </c>
      <c r="CL123">
        <v>15</v>
      </c>
      <c r="CM123">
        <v>20000</v>
      </c>
      <c r="CQ123" t="str">
        <v>kosong</v>
      </c>
      <c r="CT123" t="str">
        <v>kosong</v>
      </c>
    </row>
    <row r="124">
      <c r="A124">
        <v>60</v>
      </c>
      <c r="B124" s="1">
        <v>45233</v>
      </c>
      <c r="C124" t="str">
        <v>0920220359</v>
      </c>
      <c r="D124" t="str">
        <v>Ana Jidan Helmet</v>
      </c>
      <c r="F124" t="str">
        <v>Jl. Sindang Barang</v>
      </c>
      <c r="G124" t="str">
        <v>Sindang Barang</v>
      </c>
      <c r="H124" t="str">
        <v>Bogor Barat</v>
      </c>
      <c r="I124" t="str">
        <v xml:space="preserve">Kota Bogor </v>
      </c>
      <c r="J124" t="str">
        <v>Jawa barat</v>
      </c>
      <c r="K124">
        <v>817116166</v>
      </c>
      <c r="L124" t="str">
        <v>Publik</v>
      </c>
      <c r="M124" t="str">
        <v>Agus Tiarman</v>
      </c>
      <c r="N124" t="str">
        <v>aktif</v>
      </c>
      <c r="BT124">
        <v>3</v>
      </c>
      <c r="BV124" t="str">
        <v>penempatan</v>
      </c>
      <c r="BW124">
        <v>6</v>
      </c>
      <c r="BX124">
        <v>30500</v>
      </c>
      <c r="BZ124">
        <v>10</v>
      </c>
      <c r="CB124" t="str">
        <v>kosong</v>
      </c>
      <c r="CC124">
        <v>2</v>
      </c>
      <c r="CD124">
        <v>40500</v>
      </c>
      <c r="CF124">
        <v>4</v>
      </c>
      <c r="CH124" t="str">
        <v>kosong</v>
      </c>
      <c r="CI124">
        <v>18</v>
      </c>
      <c r="CJ124">
        <v>12000</v>
      </c>
      <c r="CO124">
        <v>10</v>
      </c>
      <c r="CP124">
        <v>10000</v>
      </c>
      <c r="CR124">
        <v>10</v>
      </c>
      <c r="CS124">
        <v>10000</v>
      </c>
      <c r="CU124">
        <v>9</v>
      </c>
      <c r="CV124">
        <v>7000</v>
      </c>
      <c r="CX124">
        <v>10</v>
      </c>
      <c r="CY124">
        <v>10000</v>
      </c>
      <c r="DA124">
        <v>14</v>
      </c>
      <c r="DB124">
        <v>5000</v>
      </c>
      <c r="DD124">
        <v>13</v>
      </c>
      <c r="DE124">
        <v>5000</v>
      </c>
      <c r="DJ124">
        <v>11</v>
      </c>
      <c r="DL124" t="str">
        <v>kosong</v>
      </c>
      <c r="DM124">
        <v>11</v>
      </c>
      <c r="DO124" t="str">
        <v>kosong</v>
      </c>
      <c r="DP124">
        <v>20</v>
      </c>
      <c r="DQ124">
        <v>16000</v>
      </c>
      <c r="DU124" t="str">
        <v>kosong</v>
      </c>
      <c r="DV124">
        <v>1</v>
      </c>
      <c r="DW124">
        <v>3000</v>
      </c>
      <c r="DY124" t="str">
        <v>23 24</v>
      </c>
      <c r="EA124" t="str">
        <v>kosong</v>
      </c>
      <c r="EB124">
        <v>3</v>
      </c>
      <c r="ED124" t="str">
        <v>kosong</v>
      </c>
      <c r="EE124">
        <v>12</v>
      </c>
      <c r="EF124">
        <v>6000</v>
      </c>
      <c r="EH124">
        <v>18</v>
      </c>
      <c r="EJ124" t="str">
        <v>kosong</v>
      </c>
      <c r="EK124">
        <v>10</v>
      </c>
      <c r="EL124">
        <v>17500</v>
      </c>
      <c r="EP124" t="str">
        <v>kosong</v>
      </c>
      <c r="EQ124">
        <v>2</v>
      </c>
      <c r="ES124" t="str">
        <v>kosong</v>
      </c>
    </row>
    <row r="125">
      <c r="A125">
        <v>156</v>
      </c>
      <c r="B125" s="1">
        <v>45233</v>
      </c>
      <c r="C125" t="str">
        <v>0920220360</v>
      </c>
      <c r="D125" t="str">
        <v>Warung Sayur Rangkuti</v>
      </c>
      <c r="F125" t="str">
        <v>Jl. Sindang Barang</v>
      </c>
      <c r="G125" t="str">
        <v>Sindang Barang</v>
      </c>
      <c r="H125" t="str">
        <v>Bogor Barat</v>
      </c>
      <c r="I125" t="str">
        <v xml:space="preserve">Kota Bogor </v>
      </c>
      <c r="J125" t="str">
        <v>Jawa barat</v>
      </c>
      <c r="L125" t="str">
        <v>Publik</v>
      </c>
      <c r="M125" t="str">
        <v>Agus Tiarman</v>
      </c>
      <c r="N125" t="str">
        <v>non aktif</v>
      </c>
      <c r="BT125">
        <v>3</v>
      </c>
      <c r="BV125" t="str">
        <v>penempatan</v>
      </c>
      <c r="BW125">
        <v>23</v>
      </c>
      <c r="BY125" t="str">
        <v>kosong</v>
      </c>
      <c r="BZ125">
        <v>10</v>
      </c>
      <c r="CA125">
        <v>20000</v>
      </c>
      <c r="CC125">
        <v>28</v>
      </c>
      <c r="CD125">
        <v>1000</v>
      </c>
      <c r="CF125">
        <v>20</v>
      </c>
      <c r="CG125">
        <v>5000</v>
      </c>
      <c r="CI125">
        <v>26</v>
      </c>
      <c r="CJ125">
        <v>52000</v>
      </c>
      <c r="CQ125" t="str">
        <v>kosong</v>
      </c>
      <c r="CT125" t="str">
        <v>kosong</v>
      </c>
    </row>
    <row r="126">
      <c r="A126">
        <v>61</v>
      </c>
      <c r="B126" s="1">
        <v>45233</v>
      </c>
      <c r="C126" t="str">
        <v>0920220361</v>
      </c>
      <c r="D126" t="str">
        <v>toko perlengkapan bayi Naila</v>
      </c>
      <c r="F126" t="str">
        <v>Jl. Sindang Barang</v>
      </c>
      <c r="G126" t="str">
        <v>Sindang Barang</v>
      </c>
      <c r="H126" t="str">
        <v>Bogor Barat</v>
      </c>
      <c r="I126" t="str">
        <v xml:space="preserve">Kota Bogor </v>
      </c>
      <c r="J126" t="str">
        <v>Jawa barat</v>
      </c>
      <c r="K126">
        <v>88219946771</v>
      </c>
      <c r="L126" t="str">
        <v>Publik</v>
      </c>
      <c r="M126" t="str">
        <v>Agus Tiarman</v>
      </c>
      <c r="N126" t="str">
        <v>aktif</v>
      </c>
      <c r="BT126">
        <v>3</v>
      </c>
      <c r="BV126" t="str">
        <v>penempatan</v>
      </c>
      <c r="BW126">
        <v>6</v>
      </c>
      <c r="BX126">
        <v>7000</v>
      </c>
      <c r="BZ126">
        <v>10</v>
      </c>
      <c r="CA126">
        <v>11000</v>
      </c>
      <c r="CC126">
        <v>2</v>
      </c>
      <c r="CD126">
        <v>10000</v>
      </c>
      <c r="CF126">
        <v>5</v>
      </c>
      <c r="CG126">
        <v>19500</v>
      </c>
      <c r="CI126">
        <v>19</v>
      </c>
      <c r="CJ126">
        <v>32500</v>
      </c>
      <c r="CL126">
        <v>15</v>
      </c>
      <c r="CM126">
        <v>10000</v>
      </c>
      <c r="CO126">
        <v>10</v>
      </c>
      <c r="CP126">
        <v>13000</v>
      </c>
      <c r="CR126">
        <v>10</v>
      </c>
      <c r="CS126">
        <v>32000</v>
      </c>
      <c r="CU126">
        <v>9</v>
      </c>
      <c r="CV126">
        <v>27000</v>
      </c>
      <c r="CX126">
        <v>10</v>
      </c>
      <c r="CY126">
        <v>36000</v>
      </c>
      <c r="DA126">
        <v>14</v>
      </c>
      <c r="DB126">
        <v>67000</v>
      </c>
      <c r="DD126">
        <v>13</v>
      </c>
      <c r="DE126">
        <v>44500</v>
      </c>
      <c r="DG126">
        <v>9</v>
      </c>
      <c r="DH126">
        <v>115000</v>
      </c>
      <c r="DJ126">
        <v>9</v>
      </c>
      <c r="DK126">
        <v>160500</v>
      </c>
      <c r="DM126">
        <v>11</v>
      </c>
      <c r="DN126">
        <v>102000</v>
      </c>
      <c r="DP126">
        <v>10</v>
      </c>
      <c r="DQ126">
        <v>86000</v>
      </c>
      <c r="DS126">
        <v>16</v>
      </c>
      <c r="DT126">
        <v>163000</v>
      </c>
      <c r="DV126">
        <v>13</v>
      </c>
      <c r="DW126">
        <v>56000</v>
      </c>
      <c r="DY126">
        <v>13</v>
      </c>
      <c r="DZ126">
        <v>216000</v>
      </c>
      <c r="EB126">
        <v>11</v>
      </c>
      <c r="EC126">
        <v>15000</v>
      </c>
      <c r="EH126">
        <v>12</v>
      </c>
      <c r="EJ126" t="str">
        <v>kosong</v>
      </c>
      <c r="EK126">
        <v>10</v>
      </c>
      <c r="EL126">
        <v>8000</v>
      </c>
      <c r="EN126">
        <v>10</v>
      </c>
      <c r="EO126">
        <v>5000</v>
      </c>
      <c r="EQ126">
        <v>2</v>
      </c>
      <c r="ER126">
        <v>15000</v>
      </c>
    </row>
    <row r="127">
      <c r="A127">
        <v>158</v>
      </c>
      <c r="B127" s="1">
        <v>45236</v>
      </c>
      <c r="C127" t="str">
        <v>0920220362</v>
      </c>
      <c r="D127" t="str">
        <v>Toko Moris  Bird Shop</v>
      </c>
      <c r="F127" t="str">
        <v>Jl. Sindang Barang</v>
      </c>
      <c r="G127" t="str">
        <v>Sindang Barang</v>
      </c>
      <c r="H127" t="str">
        <v>Bogor Barat</v>
      </c>
      <c r="I127" t="str">
        <v xml:space="preserve">Kota Bogor </v>
      </c>
      <c r="J127" t="str">
        <v>Jawa barat</v>
      </c>
      <c r="K127">
        <v>89691324480</v>
      </c>
      <c r="L127" t="str">
        <v>Publik</v>
      </c>
      <c r="M127" t="str">
        <v>Agus Tiarman</v>
      </c>
      <c r="N127" t="str">
        <v>non aktif</v>
      </c>
      <c r="BT127">
        <v>6</v>
      </c>
      <c r="BV127" t="str">
        <v>penempatan</v>
      </c>
      <c r="BW127">
        <v>8</v>
      </c>
      <c r="BX127">
        <v>10700</v>
      </c>
      <c r="BZ127">
        <v>11</v>
      </c>
      <c r="CB127" t="str">
        <v>kosong</v>
      </c>
      <c r="CC127">
        <v>23</v>
      </c>
      <c r="CE127" t="str">
        <v>kosong</v>
      </c>
    </row>
    <row r="128">
      <c r="A128">
        <v>62</v>
      </c>
      <c r="B128" s="1">
        <v>45650</v>
      </c>
      <c r="C128" t="str">
        <v>0920220363</v>
      </c>
      <c r="D128" t="str">
        <v>Bolu Pisang ibu Onih / Toko sembako Nawaf</v>
      </c>
      <c r="F128" t="str">
        <v xml:space="preserve">Jl. Panorama </v>
      </c>
      <c r="G128" t="str">
        <v>Sindang Barang</v>
      </c>
      <c r="H128" t="str">
        <v>Bogor Barat</v>
      </c>
      <c r="I128" t="str">
        <v xml:space="preserve">Kota Bogor </v>
      </c>
      <c r="J128" t="str">
        <v>Jawa barat</v>
      </c>
      <c r="L128" t="str">
        <v>Publik</v>
      </c>
      <c r="M128" t="str">
        <v>Agus Tiarman</v>
      </c>
      <c r="N128" t="str">
        <v>aktif</v>
      </c>
      <c r="BT128">
        <v>6</v>
      </c>
      <c r="BV128" t="str">
        <v>penempatan</v>
      </c>
      <c r="BW128">
        <v>23</v>
      </c>
      <c r="BY128" t="str">
        <v>kosong</v>
      </c>
      <c r="BZ128">
        <v>3</v>
      </c>
      <c r="CB128" t="str">
        <v>kosong</v>
      </c>
      <c r="CC128">
        <v>11</v>
      </c>
      <c r="CE128" t="str">
        <v>kosong</v>
      </c>
      <c r="DJ128">
        <v>21</v>
      </c>
      <c r="DK128">
        <v>22000</v>
      </c>
      <c r="DP128">
        <v>19</v>
      </c>
      <c r="DQ128">
        <v>10000</v>
      </c>
      <c r="DS128">
        <v>23</v>
      </c>
      <c r="DT128">
        <v>7500</v>
      </c>
      <c r="DV128">
        <v>21</v>
      </c>
      <c r="DW128">
        <v>13000</v>
      </c>
      <c r="DY128">
        <v>23</v>
      </c>
      <c r="DZ128">
        <v>14000</v>
      </c>
      <c r="EB128">
        <v>23</v>
      </c>
      <c r="EC128">
        <v>13000</v>
      </c>
      <c r="EE128">
        <v>22</v>
      </c>
      <c r="EF128">
        <v>14000</v>
      </c>
      <c r="EH128">
        <v>18</v>
      </c>
      <c r="EI128">
        <v>14000</v>
      </c>
      <c r="EK128">
        <v>17</v>
      </c>
      <c r="EL128">
        <v>7500</v>
      </c>
      <c r="EN128">
        <v>20</v>
      </c>
      <c r="EO128">
        <v>62000</v>
      </c>
    </row>
    <row r="129">
      <c r="A129">
        <v>63</v>
      </c>
      <c r="B129" s="1">
        <v>45236</v>
      </c>
      <c r="C129" t="str">
        <v>0920220364</v>
      </c>
      <c r="D129" t="str">
        <v>Toko syakira Madura</v>
      </c>
      <c r="F129" t="str">
        <v>Jl.Gunung Batu</v>
      </c>
      <c r="G129" t="str">
        <v>Gunung batu</v>
      </c>
      <c r="H129" t="str">
        <v>Bogor Barat</v>
      </c>
      <c r="I129" t="str">
        <v xml:space="preserve">Kota Bogor </v>
      </c>
      <c r="J129" t="str">
        <v>Jawa barat</v>
      </c>
      <c r="K129">
        <v>85878514937</v>
      </c>
      <c r="L129" t="str">
        <v>Publik</v>
      </c>
      <c r="M129" t="str">
        <v>Agus Tiarman</v>
      </c>
      <c r="N129" t="str">
        <v>aktif</v>
      </c>
      <c r="BT129">
        <v>6</v>
      </c>
      <c r="BV129" t="str">
        <v>penempatan</v>
      </c>
      <c r="BW129">
        <v>6</v>
      </c>
      <c r="BX129">
        <v>4000</v>
      </c>
      <c r="BZ129">
        <v>15</v>
      </c>
      <c r="CA129">
        <v>6000</v>
      </c>
      <c r="CC129">
        <v>22</v>
      </c>
      <c r="CD129">
        <v>5000</v>
      </c>
      <c r="CF129">
        <v>7</v>
      </c>
      <c r="CG129">
        <v>10500</v>
      </c>
      <c r="CI129">
        <v>19</v>
      </c>
      <c r="CJ129">
        <v>17000</v>
      </c>
      <c r="CL129">
        <v>9</v>
      </c>
      <c r="CM129">
        <v>39500</v>
      </c>
      <c r="CO129">
        <v>5</v>
      </c>
      <c r="CP129">
        <v>16500</v>
      </c>
      <c r="CR129">
        <v>9</v>
      </c>
      <c r="CS129">
        <v>9000</v>
      </c>
      <c r="CU129">
        <v>2</v>
      </c>
      <c r="CV129">
        <v>10000</v>
      </c>
      <c r="CX129">
        <v>5</v>
      </c>
      <c r="CY129">
        <v>22000</v>
      </c>
      <c r="DA129" t="str">
        <v>24 25</v>
      </c>
      <c r="DB129">
        <f>38000+8000</f>
        <v>46000</v>
      </c>
      <c r="DG129">
        <v>2</v>
      </c>
      <c r="DH129">
        <v>33000</v>
      </c>
      <c r="DJ129">
        <v>2</v>
      </c>
      <c r="DK129">
        <v>18000</v>
      </c>
      <c r="DM129">
        <v>3</v>
      </c>
      <c r="DN129">
        <v>27000</v>
      </c>
      <c r="DP129">
        <v>3</v>
      </c>
      <c r="DQ129">
        <v>18000</v>
      </c>
      <c r="DS129">
        <v>8</v>
      </c>
      <c r="DT129">
        <v>28000</v>
      </c>
      <c r="DV129">
        <v>1</v>
      </c>
      <c r="DW129">
        <v>10500</v>
      </c>
      <c r="DY129">
        <v>3</v>
      </c>
      <c r="DZ129">
        <v>13000</v>
      </c>
      <c r="EB129" s="1">
        <v>45672</v>
      </c>
      <c r="EC129">
        <v>47000</v>
      </c>
      <c r="ED129" t="str">
        <v>kosong-1</v>
      </c>
      <c r="EE129">
        <v>5</v>
      </c>
      <c r="EF129">
        <v>68000</v>
      </c>
      <c r="EH129">
        <v>2</v>
      </c>
      <c r="EI129">
        <v>24000</v>
      </c>
      <c r="EK129">
        <v>2</v>
      </c>
      <c r="EL129">
        <v>24000</v>
      </c>
      <c r="EN129">
        <v>3</v>
      </c>
      <c r="EO129">
        <f>10500</f>
        <v>10500</v>
      </c>
      <c r="EQ129">
        <v>2</v>
      </c>
      <c r="ER129">
        <v>24500</v>
      </c>
    </row>
    <row r="130">
      <c r="A130">
        <v>78</v>
      </c>
      <c r="B130" s="1">
        <v>45243</v>
      </c>
      <c r="C130" t="str">
        <v>0920220365</v>
      </c>
      <c r="D130" t="str">
        <v>Ima (tkit al muhajirin)</v>
      </c>
      <c r="F130" t="str">
        <v>Komplek IPB II Sindang Barang</v>
      </c>
      <c r="G130" t="str">
        <v>Laladon</v>
      </c>
      <c r="H130" t="str">
        <v>Ciomas</v>
      </c>
      <c r="I130" t="str">
        <v>Kab Bogor</v>
      </c>
      <c r="J130" t="str">
        <v>Jawa barat</v>
      </c>
      <c r="K130" t="str">
        <v>0815 3982 4990</v>
      </c>
      <c r="L130" t="str">
        <v>Publik</v>
      </c>
      <c r="M130" t="str">
        <v>Agus Tiarman</v>
      </c>
      <c r="N130" t="str">
        <v>non aktif</v>
      </c>
      <c r="BT130">
        <v>13</v>
      </c>
      <c r="BV130" t="str">
        <v>penempatan</v>
      </c>
      <c r="BW130">
        <v>23</v>
      </c>
      <c r="BY130" t="str">
        <v>kosong</v>
      </c>
      <c r="CN130" t="str">
        <v>kosong</v>
      </c>
      <c r="CQ130" t="str">
        <v>kosong</v>
      </c>
    </row>
    <row r="131">
      <c r="A131">
        <v>64</v>
      </c>
      <c r="B131" s="1">
        <v>45243</v>
      </c>
      <c r="C131" t="str">
        <v>0920220366</v>
      </c>
      <c r="D131" t="str">
        <v>warung mama ine</v>
      </c>
      <c r="F131" t="str">
        <v>Jl.Raya Dramaga ciputih (gugah sari)</v>
      </c>
      <c r="G131" t="str">
        <v>margajaya</v>
      </c>
      <c r="H131" t="str">
        <v>Bogor Barat</v>
      </c>
      <c r="I131" t="str">
        <v xml:space="preserve">Kota Bogor </v>
      </c>
      <c r="J131" t="str">
        <v>Jawa barat</v>
      </c>
      <c r="K131" t="str">
        <v>0857 7176 7077</v>
      </c>
      <c r="L131" t="str">
        <v>Publik</v>
      </c>
      <c r="M131" t="str">
        <v>Agus Tiarman</v>
      </c>
      <c r="N131" t="str">
        <v>aktif</v>
      </c>
      <c r="BT131">
        <v>13</v>
      </c>
      <c r="BV131" t="str">
        <v>penempatan</v>
      </c>
      <c r="BW131">
        <v>13</v>
      </c>
      <c r="BX131">
        <v>8500</v>
      </c>
      <c r="BZ131">
        <v>19</v>
      </c>
      <c r="CA131">
        <v>31000</v>
      </c>
      <c r="CF131">
        <v>8</v>
      </c>
      <c r="CG131">
        <v>36000</v>
      </c>
      <c r="CI131">
        <v>1</v>
      </c>
      <c r="CJ131">
        <v>2000</v>
      </c>
      <c r="CL131">
        <v>8</v>
      </c>
      <c r="CM131">
        <v>19500</v>
      </c>
      <c r="CO131">
        <v>7</v>
      </c>
      <c r="CP131">
        <v>8000</v>
      </c>
      <c r="CR131">
        <v>8</v>
      </c>
      <c r="CS131">
        <v>34000</v>
      </c>
      <c r="CU131">
        <v>6</v>
      </c>
      <c r="CV131">
        <v>18000</v>
      </c>
      <c r="CX131">
        <v>5</v>
      </c>
      <c r="CY131">
        <v>32000</v>
      </c>
      <c r="DA131">
        <v>4</v>
      </c>
      <c r="DB131">
        <v>24000</v>
      </c>
      <c r="DD131">
        <v>8</v>
      </c>
      <c r="DE131">
        <v>21000</v>
      </c>
      <c r="DG131">
        <v>6</v>
      </c>
      <c r="DH131">
        <v>5500</v>
      </c>
      <c r="DJ131">
        <v>11</v>
      </c>
      <c r="DL131" t="str">
        <v>kosong</v>
      </c>
      <c r="DM131">
        <v>7</v>
      </c>
      <c r="DN131">
        <v>2000</v>
      </c>
      <c r="DP131">
        <v>5</v>
      </c>
      <c r="DQ131">
        <v>6000</v>
      </c>
      <c r="DS131">
        <v>10</v>
      </c>
      <c r="DT131">
        <v>11000</v>
      </c>
      <c r="DV131">
        <v>6</v>
      </c>
      <c r="DW131">
        <v>15000</v>
      </c>
      <c r="DY131">
        <v>4</v>
      </c>
      <c r="DZ131">
        <v>16000</v>
      </c>
      <c r="EB131">
        <v>7</v>
      </c>
      <c r="EC131">
        <v>10500</v>
      </c>
      <c r="EE131">
        <v>7</v>
      </c>
      <c r="EF131">
        <v>28500</v>
      </c>
      <c r="EH131">
        <v>4</v>
      </c>
      <c r="EI131">
        <v>15500</v>
      </c>
      <c r="EK131">
        <v>9</v>
      </c>
      <c r="EL131">
        <v>8000</v>
      </c>
      <c r="EN131">
        <v>5</v>
      </c>
      <c r="EO131">
        <v>13000</v>
      </c>
      <c r="EQ131">
        <v>4</v>
      </c>
      <c r="ER131">
        <v>12000</v>
      </c>
    </row>
    <row r="132">
      <c r="A132">
        <v>65</v>
      </c>
      <c r="B132" s="1">
        <v>45243</v>
      </c>
      <c r="C132" t="str">
        <v>0920220367</v>
      </c>
      <c r="D132" t="str">
        <v>warteg syifa (depan sekolaj insal kamil)</v>
      </c>
      <c r="F132" t="str">
        <v xml:space="preserve">Jl.Raya Dramaga </v>
      </c>
      <c r="G132" t="str">
        <v>margajaya</v>
      </c>
      <c r="H132" t="str">
        <v>Bogor Barat</v>
      </c>
      <c r="I132" t="str">
        <v xml:space="preserve">Kota Bogor </v>
      </c>
      <c r="J132" t="str">
        <v>Jawa barat</v>
      </c>
      <c r="K132" t="str">
        <v>0857 1278 0416</v>
      </c>
      <c r="L132" t="str">
        <v>Publik</v>
      </c>
      <c r="M132" t="str">
        <v>Agus Tiarman</v>
      </c>
      <c r="N132" t="str">
        <v>aktif</v>
      </c>
      <c r="BT132">
        <v>13</v>
      </c>
      <c r="BV132" t="str">
        <v>penempatan</v>
      </c>
      <c r="BW132">
        <v>23</v>
      </c>
      <c r="BY132" t="str">
        <v>kosong</v>
      </c>
      <c r="BZ132">
        <v>12</v>
      </c>
      <c r="CA132">
        <v>15000</v>
      </c>
      <c r="CC132">
        <v>7</v>
      </c>
      <c r="CD132">
        <v>14000</v>
      </c>
      <c r="CF132">
        <v>6</v>
      </c>
      <c r="CG132">
        <v>15000</v>
      </c>
      <c r="CL132">
        <v>22</v>
      </c>
      <c r="CM132">
        <v>41000</v>
      </c>
      <c r="CO132">
        <v>20</v>
      </c>
      <c r="CP132">
        <v>26000</v>
      </c>
      <c r="CR132">
        <v>18</v>
      </c>
      <c r="CS132">
        <v>32000</v>
      </c>
      <c r="CU132">
        <v>19</v>
      </c>
      <c r="CV132">
        <v>20000</v>
      </c>
      <c r="CX132">
        <v>24</v>
      </c>
      <c r="CY132">
        <v>16000</v>
      </c>
      <c r="DA132">
        <v>22</v>
      </c>
      <c r="DB132">
        <v>39000</v>
      </c>
      <c r="DG132">
        <v>26</v>
      </c>
      <c r="DH132">
        <v>16000</v>
      </c>
      <c r="DJ132">
        <v>15</v>
      </c>
      <c r="DK132">
        <v>23000</v>
      </c>
      <c r="DM132">
        <v>18</v>
      </c>
      <c r="DN132">
        <v>25000</v>
      </c>
      <c r="DP132">
        <v>11</v>
      </c>
      <c r="DQ132">
        <v>24000</v>
      </c>
      <c r="DU132" t="str">
        <v>kosong</v>
      </c>
      <c r="DV132" t="str">
        <v>30   19</v>
      </c>
      <c r="DW132">
        <v>51000</v>
      </c>
      <c r="DY132">
        <v>11</v>
      </c>
      <c r="DZ132">
        <v>26000</v>
      </c>
      <c r="EB132">
        <v>11</v>
      </c>
      <c r="EC132">
        <v>29000</v>
      </c>
      <c r="EE132">
        <v>5</v>
      </c>
      <c r="EF132">
        <v>23000</v>
      </c>
      <c r="EH132">
        <v>4</v>
      </c>
      <c r="EI132">
        <v>40000</v>
      </c>
      <c r="EK132">
        <v>3</v>
      </c>
      <c r="EL132">
        <v>33000</v>
      </c>
      <c r="EN132">
        <v>11</v>
      </c>
      <c r="EO132">
        <v>36000</v>
      </c>
      <c r="EQ132">
        <v>9</v>
      </c>
      <c r="ER132">
        <v>14000</v>
      </c>
    </row>
    <row r="133">
      <c r="A133">
        <v>66</v>
      </c>
      <c r="B133" s="1">
        <v>45244</v>
      </c>
      <c r="C133" t="str">
        <v>0920220368</v>
      </c>
      <c r="D133" t="str">
        <v>tpa darul falah</v>
      </c>
      <c r="F133" t="str">
        <v>jl. menteng asri</v>
      </c>
      <c r="G133" t="str">
        <v>menteng</v>
      </c>
      <c r="H133" t="str">
        <v>Bogor Barat</v>
      </c>
      <c r="I133" t="str">
        <v xml:space="preserve">Kota Bogor </v>
      </c>
      <c r="J133" t="str">
        <v>Jawa barat</v>
      </c>
      <c r="K133" t="str">
        <v>0852 1868 7162</v>
      </c>
      <c r="L133" t="str">
        <v>Publik</v>
      </c>
      <c r="M133" t="str">
        <v>Agus Tiarman</v>
      </c>
      <c r="N133" t="str">
        <v>non aktif</v>
      </c>
      <c r="BT133">
        <v>14</v>
      </c>
      <c r="BV133" t="str">
        <v>penempatan</v>
      </c>
      <c r="BW133">
        <v>18</v>
      </c>
      <c r="BX133">
        <v>220000</v>
      </c>
      <c r="BZ133">
        <v>11</v>
      </c>
      <c r="CB133" t="str">
        <v>kosong</v>
      </c>
      <c r="CC133">
        <v>11</v>
      </c>
      <c r="CE133" t="str">
        <v>kosong</v>
      </c>
      <c r="CN133" t="str">
        <v>kosong</v>
      </c>
      <c r="CQ133" t="str">
        <v>kosong</v>
      </c>
      <c r="CU133">
        <v>23</v>
      </c>
      <c r="CV133">
        <v>124000</v>
      </c>
      <c r="DR133" t="str">
        <v>kosong</v>
      </c>
      <c r="DU133" t="str">
        <v>kosong</v>
      </c>
      <c r="EA133" t="str">
        <v>kosong</v>
      </c>
    </row>
    <row r="134">
      <c r="A134">
        <v>67</v>
      </c>
      <c r="B134" s="1">
        <v>45245</v>
      </c>
      <c r="C134" t="str">
        <v>0920220369</v>
      </c>
      <c r="D134" t="str">
        <v>apotik syafa farma</v>
      </c>
      <c r="F134" t="str">
        <v xml:space="preserve">jl. cifor </v>
      </c>
      <c r="G134" t="str">
        <v>bubulak</v>
      </c>
      <c r="H134" t="str">
        <v>Bogor Barat</v>
      </c>
      <c r="I134" t="str">
        <v xml:space="preserve">Kota Bogor </v>
      </c>
      <c r="J134" t="str">
        <v>Jawa barat</v>
      </c>
      <c r="K134" t="str">
        <v>0812 2553 5599</v>
      </c>
      <c r="L134" t="str">
        <v>Publik</v>
      </c>
      <c r="M134" t="str">
        <v>Agus Tiarman</v>
      </c>
      <c r="N134" t="str">
        <v>aktif</v>
      </c>
      <c r="BT134">
        <v>15</v>
      </c>
      <c r="BV134" t="str">
        <v>penempatan</v>
      </c>
      <c r="BW134">
        <v>15</v>
      </c>
      <c r="BX134">
        <v>19000</v>
      </c>
      <c r="BZ134">
        <v>12</v>
      </c>
      <c r="CA134">
        <v>17500</v>
      </c>
      <c r="CC134">
        <v>23</v>
      </c>
      <c r="CE134" t="str">
        <v>kosong</v>
      </c>
      <c r="CF134">
        <v>20</v>
      </c>
      <c r="CG134">
        <v>19000</v>
      </c>
      <c r="CI134">
        <v>22</v>
      </c>
      <c r="CJ134">
        <v>16000</v>
      </c>
      <c r="CL134">
        <v>15</v>
      </c>
      <c r="CM134">
        <v>13000</v>
      </c>
      <c r="CO134">
        <v>14</v>
      </c>
      <c r="CP134">
        <v>25000</v>
      </c>
      <c r="CR134">
        <v>10</v>
      </c>
      <c r="CS134">
        <v>6000</v>
      </c>
      <c r="CU134">
        <v>9</v>
      </c>
      <c r="CV134">
        <v>3500</v>
      </c>
      <c r="DA134">
        <v>14</v>
      </c>
      <c r="DB134">
        <v>158000</v>
      </c>
      <c r="DD134">
        <v>13</v>
      </c>
      <c r="DE134">
        <v>7000</v>
      </c>
      <c r="DG134">
        <v>9</v>
      </c>
      <c r="DH134">
        <v>8000</v>
      </c>
      <c r="DJ134">
        <v>9</v>
      </c>
      <c r="DK134">
        <v>7000</v>
      </c>
      <c r="DM134">
        <v>11</v>
      </c>
      <c r="DN134">
        <v>2000</v>
      </c>
      <c r="DR134" t="str">
        <v>kosong</v>
      </c>
      <c r="DS134">
        <v>16</v>
      </c>
      <c r="DU134" t="str">
        <v>kosong</v>
      </c>
      <c r="DV134">
        <v>13</v>
      </c>
      <c r="DX134" t="str">
        <v>kosong</v>
      </c>
      <c r="DY134" t="str">
        <v>13  23  24</v>
      </c>
      <c r="EA134" t="str">
        <v>kosong</v>
      </c>
      <c r="EB134">
        <v>18</v>
      </c>
      <c r="ED134" t="str">
        <v>kosong</v>
      </c>
      <c r="EH134">
        <v>12</v>
      </c>
      <c r="EI134">
        <v>6000</v>
      </c>
      <c r="EK134">
        <v>17</v>
      </c>
      <c r="EL134" t="str">
        <v>kosong</v>
      </c>
    </row>
    <row r="135">
      <c r="A135">
        <v>83</v>
      </c>
      <c r="B135" s="1">
        <v>45252</v>
      </c>
      <c r="C135" t="str">
        <v>0920220370</v>
      </c>
      <c r="D135" t="str">
        <v>Majlis taklim AlMuhajirin</v>
      </c>
      <c r="F135" t="str">
        <v>Perum Puri Matahari</v>
      </c>
      <c r="G135" t="str">
        <v>Laladon</v>
      </c>
      <c r="H135" t="str">
        <v>Ciomas</v>
      </c>
      <c r="I135" t="str">
        <v>Kab Bogor</v>
      </c>
      <c r="J135" t="str">
        <v>Jawa barat</v>
      </c>
      <c r="K135" t="str">
        <v>0816 1682022</v>
      </c>
      <c r="L135" t="str">
        <v>Publik</v>
      </c>
      <c r="M135" t="str">
        <v>Agus Tiarman</v>
      </c>
      <c r="N135" t="str">
        <v>aktif</v>
      </c>
      <c r="BT135">
        <v>22</v>
      </c>
      <c r="BV135" t="str">
        <v>penempatan</v>
      </c>
      <c r="BW135">
        <v>23</v>
      </c>
      <c r="BY135" t="str">
        <v>kosong</v>
      </c>
      <c r="CB135" t="str">
        <v>ditarik</v>
      </c>
      <c r="CC135">
        <v>16</v>
      </c>
      <c r="CD135">
        <v>566000</v>
      </c>
      <c r="CF135">
        <v>22</v>
      </c>
      <c r="CG135">
        <v>409000</v>
      </c>
      <c r="CL135">
        <v>17</v>
      </c>
      <c r="CM135">
        <v>692000</v>
      </c>
      <c r="CN135" t="str">
        <v>kosong</v>
      </c>
      <c r="CQ135" t="str">
        <v>kosong</v>
      </c>
      <c r="CR135">
        <v>5</v>
      </c>
      <c r="CS135">
        <v>367000</v>
      </c>
      <c r="CU135">
        <v>7</v>
      </c>
      <c r="CV135">
        <v>328000</v>
      </c>
      <c r="CX135">
        <v>18</v>
      </c>
      <c r="CY135">
        <v>327000</v>
      </c>
      <c r="DA135">
        <v>23</v>
      </c>
      <c r="DB135">
        <v>275000</v>
      </c>
      <c r="DG135">
        <v>4</v>
      </c>
      <c r="DH135">
        <v>458000</v>
      </c>
      <c r="DJ135">
        <v>8</v>
      </c>
      <c r="DK135">
        <v>737000</v>
      </c>
      <c r="DQ135" t="str">
        <v>ditarik</v>
      </c>
      <c r="EB135">
        <v>22</v>
      </c>
      <c r="EC135">
        <v>57000</v>
      </c>
      <c r="EE135">
        <v>30</v>
      </c>
      <c r="EF135">
        <v>50000</v>
      </c>
      <c r="EH135">
        <v>24</v>
      </c>
      <c r="EI135">
        <v>85000</v>
      </c>
      <c r="EK135">
        <v>22</v>
      </c>
      <c r="EL135">
        <v>57000</v>
      </c>
      <c r="EQ135">
        <v>26</v>
      </c>
      <c r="ER135">
        <v>82000</v>
      </c>
    </row>
    <row r="136">
      <c r="A136">
        <v>84</v>
      </c>
      <c r="B136" s="1">
        <v>45650</v>
      </c>
      <c r="C136" t="str">
        <v>0920220371</v>
      </c>
      <c r="D136" t="str">
        <v>Team Kopi Cafe / Toko Sembako Jaya Madura</v>
      </c>
      <c r="F136" t="str">
        <v>Jl. Lingkar Laladon (dekat the azank)</v>
      </c>
      <c r="G136" t="str">
        <v>Laladon</v>
      </c>
      <c r="H136" t="str">
        <v>Ciomas</v>
      </c>
      <c r="I136" t="str">
        <v>Kab Bogor</v>
      </c>
      <c r="J136" t="str">
        <v>Jawa barat</v>
      </c>
      <c r="K136" t="str">
        <v>0813 31338136</v>
      </c>
      <c r="L136" t="str">
        <v>Publik</v>
      </c>
      <c r="M136" t="str">
        <v>Agus Tiarman</v>
      </c>
      <c r="N136" t="str">
        <v>non aktif</v>
      </c>
      <c r="BT136">
        <v>22</v>
      </c>
      <c r="BV136" t="str">
        <v>penempatan</v>
      </c>
      <c r="BW136">
        <v>23</v>
      </c>
      <c r="BY136" t="str">
        <v>kosong</v>
      </c>
      <c r="CB136" t="str">
        <v>tarik</v>
      </c>
      <c r="DG136">
        <v>24</v>
      </c>
      <c r="DH136">
        <v>6000</v>
      </c>
      <c r="DJ136">
        <v>11</v>
      </c>
      <c r="DL136" t="str">
        <v>kosong</v>
      </c>
      <c r="DM136">
        <v>12</v>
      </c>
      <c r="DO136" t="str">
        <v>kosong</v>
      </c>
      <c r="DP136">
        <v>7</v>
      </c>
      <c r="DQ136">
        <v>2000</v>
      </c>
      <c r="DU136" t="str">
        <v>kosong</v>
      </c>
      <c r="DY136">
        <v>12</v>
      </c>
      <c r="DZ136">
        <v>4000</v>
      </c>
      <c r="EH136">
        <v>17</v>
      </c>
      <c r="EJ136" t="str">
        <v>ditarik</v>
      </c>
    </row>
    <row r="137">
      <c r="A137">
        <v>168</v>
      </c>
      <c r="B137" s="1">
        <v>45247</v>
      </c>
      <c r="C137" t="str">
        <v>0920220372</v>
      </c>
      <c r="D137" t="str">
        <v>Toko buah Jembar Laksana</v>
      </c>
      <c r="F137" t="str">
        <v>Jl. Lingkar dramaga (perum dramaga cantik)</v>
      </c>
      <c r="G137" t="str">
        <v>Ciherang</v>
      </c>
      <c r="H137" t="str">
        <v xml:space="preserve">Dramaga </v>
      </c>
      <c r="I137" t="str">
        <v>Kab Bogor</v>
      </c>
      <c r="J137" t="str">
        <v>Jawa barat</v>
      </c>
      <c r="K137" t="str">
        <v>0813 24644903</v>
      </c>
      <c r="L137" t="str">
        <v>Publik</v>
      </c>
      <c r="M137" t="str">
        <v>Agus Tiarman</v>
      </c>
      <c r="N137" t="str">
        <v>non aktif</v>
      </c>
      <c r="BV137" t="str">
        <v>penempatan</v>
      </c>
      <c r="BW137">
        <v>18</v>
      </c>
      <c r="BX137">
        <v>4000</v>
      </c>
      <c r="BZ137">
        <v>9</v>
      </c>
      <c r="CA137">
        <v>2700</v>
      </c>
      <c r="CC137">
        <v>23</v>
      </c>
      <c r="CE137" t="str">
        <v>kosong</v>
      </c>
      <c r="CN137" t="str">
        <v>ditarik</v>
      </c>
    </row>
    <row r="138">
      <c r="A138">
        <v>169</v>
      </c>
      <c r="B138" s="1">
        <v>45250</v>
      </c>
      <c r="C138" t="str">
        <v>0920220373</v>
      </c>
      <c r="D138" t="str">
        <v xml:space="preserve">RM Nurbaya </v>
      </c>
      <c r="F138" t="str">
        <v xml:space="preserve">Jl. Sindang Barang pilar </v>
      </c>
      <c r="G138" t="str">
        <v>Sindang Barang</v>
      </c>
      <c r="H138" t="str">
        <v>Bogor Barat</v>
      </c>
      <c r="I138" t="str">
        <v xml:space="preserve">Kota Bogor </v>
      </c>
      <c r="J138" t="str">
        <v>Jawa barat</v>
      </c>
      <c r="K138" t="str">
        <v>0831 56981543</v>
      </c>
      <c r="L138" t="str">
        <v>Publik</v>
      </c>
      <c r="M138" t="str">
        <v>Agus Tiarman</v>
      </c>
      <c r="N138" t="str">
        <v>non aktif</v>
      </c>
      <c r="BV138" t="str">
        <v>penempatan</v>
      </c>
      <c r="BW138">
        <v>23</v>
      </c>
      <c r="BY138" t="str">
        <v>kosong</v>
      </c>
      <c r="BZ138">
        <v>10</v>
      </c>
      <c r="CA138">
        <v>12000</v>
      </c>
      <c r="CC138">
        <v>2</v>
      </c>
      <c r="CD138">
        <v>6500</v>
      </c>
      <c r="CF138">
        <v>6</v>
      </c>
      <c r="CG138">
        <v>8000</v>
      </c>
      <c r="CL138">
        <v>14</v>
      </c>
      <c r="CM138">
        <v>9000</v>
      </c>
      <c r="CQ138" t="str">
        <v>ditarik</v>
      </c>
    </row>
    <row r="139">
      <c r="A139">
        <v>85</v>
      </c>
      <c r="B139" s="1">
        <v>45258</v>
      </c>
      <c r="C139" t="str">
        <v>0920220374</v>
      </c>
      <c r="D139" t="str">
        <v xml:space="preserve">Warteg Mamoka </v>
      </c>
      <c r="F139" t="str">
        <v>Jl. Sindang Barang pilar (seberang najaa bakery)</v>
      </c>
      <c r="G139" t="str">
        <v>Sindang Barang</v>
      </c>
      <c r="H139" t="str">
        <v>Bogor Barat</v>
      </c>
      <c r="I139" t="str">
        <v xml:space="preserve">Kota Bogor </v>
      </c>
      <c r="J139" t="str">
        <v>Jawa barat</v>
      </c>
      <c r="K139" t="str">
        <v>0895 377293654</v>
      </c>
      <c r="L139" t="str">
        <v>Publik</v>
      </c>
      <c r="M139" t="str">
        <v>Agus Tiarman</v>
      </c>
      <c r="N139" t="str">
        <v>non aktif</v>
      </c>
      <c r="BV139" t="str">
        <v>penempatan</v>
      </c>
      <c r="BW139">
        <v>21</v>
      </c>
      <c r="BX139">
        <v>15000</v>
      </c>
      <c r="BZ139">
        <v>10</v>
      </c>
      <c r="CA139">
        <v>7000</v>
      </c>
      <c r="CC139">
        <v>2</v>
      </c>
      <c r="CD139">
        <v>21000</v>
      </c>
      <c r="CF139">
        <v>5</v>
      </c>
      <c r="CG139">
        <v>29000</v>
      </c>
      <c r="CI139">
        <v>18</v>
      </c>
      <c r="CJ139">
        <v>83500</v>
      </c>
      <c r="CL139">
        <v>8</v>
      </c>
      <c r="CM139">
        <v>5000</v>
      </c>
      <c r="CO139">
        <v>28</v>
      </c>
      <c r="CP139">
        <v>3000</v>
      </c>
      <c r="CR139">
        <v>10</v>
      </c>
      <c r="CS139">
        <v>12000</v>
      </c>
      <c r="CU139">
        <v>8</v>
      </c>
      <c r="CV139">
        <v>7500</v>
      </c>
      <c r="CX139">
        <v>13</v>
      </c>
      <c r="CY139">
        <v>13000</v>
      </c>
      <c r="DA139">
        <v>4</v>
      </c>
      <c r="DB139">
        <v>12000</v>
      </c>
      <c r="DG139">
        <v>9</v>
      </c>
      <c r="DH139">
        <v>3000</v>
      </c>
      <c r="DJ139">
        <v>11</v>
      </c>
      <c r="DL139" t="str">
        <v>kosong</v>
      </c>
      <c r="DR139" t="str">
        <v>kosong</v>
      </c>
      <c r="DU139" t="str">
        <v>kosong</v>
      </c>
      <c r="DV139">
        <v>13</v>
      </c>
      <c r="DX139" t="str">
        <v>ditarik</v>
      </c>
    </row>
    <row r="140">
      <c r="A140">
        <v>68</v>
      </c>
      <c r="B140" s="1">
        <v>45258</v>
      </c>
      <c r="C140" t="str">
        <v>0920220375</v>
      </c>
      <c r="D140" t="str">
        <v>RA Insan Robbani</v>
      </c>
      <c r="F140" t="str">
        <v>Komp. Panorama</v>
      </c>
      <c r="G140" t="str">
        <v>Sindang Barang</v>
      </c>
      <c r="H140" t="str">
        <v>Bogor Barat</v>
      </c>
      <c r="I140" t="str">
        <v xml:space="preserve">Kota Bogor </v>
      </c>
      <c r="J140" t="str">
        <v>Jawa barat</v>
      </c>
      <c r="K140" t="str">
        <v>0878 70337351</v>
      </c>
      <c r="L140" t="str">
        <v>Publik</v>
      </c>
      <c r="M140" t="str">
        <v>Agus Tiarman</v>
      </c>
      <c r="N140" t="str">
        <v>aktif</v>
      </c>
      <c r="BV140" t="str">
        <v>penempatan</v>
      </c>
      <c r="BW140">
        <v>23</v>
      </c>
      <c r="BY140" t="str">
        <v>kosong</v>
      </c>
      <c r="BZ140">
        <v>10</v>
      </c>
      <c r="CA140">
        <v>75000</v>
      </c>
      <c r="CC140">
        <v>20</v>
      </c>
      <c r="CD140">
        <v>164000</v>
      </c>
      <c r="CF140">
        <v>25</v>
      </c>
      <c r="CG140">
        <v>151500</v>
      </c>
      <c r="CL140">
        <v>22</v>
      </c>
      <c r="CM140">
        <v>71000</v>
      </c>
      <c r="CO140">
        <v>21</v>
      </c>
      <c r="CP140">
        <v>114000</v>
      </c>
      <c r="CT140" t="str">
        <v>kosong</v>
      </c>
      <c r="CU140">
        <v>23</v>
      </c>
      <c r="CV140">
        <v>11500</v>
      </c>
      <c r="DJ140">
        <v>21</v>
      </c>
      <c r="DL140" t="str">
        <v>kosong</v>
      </c>
      <c r="DP140">
        <v>19</v>
      </c>
      <c r="DQ140">
        <v>74000</v>
      </c>
      <c r="DU140" t="str">
        <v>kosong</v>
      </c>
      <c r="EA140" t="str">
        <v>libur</v>
      </c>
      <c r="EE140">
        <v>29</v>
      </c>
      <c r="EF140">
        <v>29000</v>
      </c>
    </row>
    <row r="141">
      <c r="A141">
        <v>172</v>
      </c>
      <c r="B141" s="1">
        <v>45258</v>
      </c>
      <c r="C141" t="str">
        <v>0920220376</v>
      </c>
      <c r="D141" t="str">
        <v>TK Rumah Cerdas</v>
      </c>
      <c r="F141" t="str">
        <v>Jl. Arafah Kp. Sawah Baru</v>
      </c>
      <c r="G141" t="str">
        <v>Laladon</v>
      </c>
      <c r="H141" t="str">
        <v>Ciomas</v>
      </c>
      <c r="I141" t="str">
        <v>Kab Bogor</v>
      </c>
      <c r="J141" t="str">
        <v>Jawa barat</v>
      </c>
      <c r="K141" t="str">
        <v>0895 325376640</v>
      </c>
      <c r="L141" t="str">
        <v>Publik</v>
      </c>
      <c r="M141" t="str">
        <v>Agus Tiarman</v>
      </c>
      <c r="N141" t="str">
        <v>non aktif</v>
      </c>
      <c r="BV141" t="str">
        <v>penempatan</v>
      </c>
      <c r="BZ141">
        <v>5</v>
      </c>
      <c r="CB141" t="str">
        <v>kosong</v>
      </c>
      <c r="CL141">
        <v>14</v>
      </c>
      <c r="CM141">
        <v>5000</v>
      </c>
      <c r="CQ141" t="str">
        <v>ditarik</v>
      </c>
    </row>
    <row r="142">
      <c r="A142">
        <v>69</v>
      </c>
      <c r="B142" s="1">
        <v>45258</v>
      </c>
      <c r="C142" t="str">
        <v>0920220377</v>
      </c>
      <c r="D142" t="str">
        <v>Everyday Coffe / Toko kelontong madura Bima</v>
      </c>
      <c r="F142" t="str">
        <v>Jl. Lingkar Dramaga dekat pasir aba</v>
      </c>
      <c r="G142" t="str">
        <v>Dramaga</v>
      </c>
      <c r="H142" t="str">
        <v>Dramaga</v>
      </c>
      <c r="I142" t="str">
        <v>Kab Bogor</v>
      </c>
      <c r="J142" t="str">
        <v>Jawa Barat</v>
      </c>
      <c r="K142" t="str">
        <v>08178 04445222</v>
      </c>
      <c r="L142" t="str">
        <v>publik</v>
      </c>
      <c r="M142" t="str">
        <v>Firdaus</v>
      </c>
      <c r="N142" t="str">
        <v>aktif</v>
      </c>
      <c r="BV142" t="str">
        <v>penempatan</v>
      </c>
      <c r="BZ142">
        <v>5</v>
      </c>
      <c r="CB142" t="str">
        <v>ditarik</v>
      </c>
      <c r="DJ142">
        <v>8</v>
      </c>
      <c r="DK142">
        <v>34000</v>
      </c>
      <c r="DM142">
        <v>7</v>
      </c>
      <c r="DN142">
        <v>28000</v>
      </c>
      <c r="DP142">
        <v>6</v>
      </c>
      <c r="DQ142">
        <v>55000</v>
      </c>
      <c r="DS142">
        <v>11</v>
      </c>
      <c r="DT142">
        <v>45000</v>
      </c>
      <c r="DV142">
        <v>6</v>
      </c>
      <c r="DW142">
        <v>39500</v>
      </c>
      <c r="DY142">
        <v>5</v>
      </c>
      <c r="DZ142">
        <v>58000</v>
      </c>
      <c r="EB142">
        <v>3</v>
      </c>
      <c r="EC142">
        <v>21000</v>
      </c>
      <c r="EE142">
        <v>5</v>
      </c>
      <c r="EF142">
        <v>48000</v>
      </c>
      <c r="EH142">
        <v>4</v>
      </c>
      <c r="EI142">
        <v>47000</v>
      </c>
      <c r="EK142">
        <v>6</v>
      </c>
      <c r="EL142">
        <v>19000</v>
      </c>
      <c r="EN142">
        <v>6</v>
      </c>
      <c r="EO142">
        <v>21000</v>
      </c>
      <c r="EQ142">
        <v>3</v>
      </c>
      <c r="ER142">
        <v>16000</v>
      </c>
    </row>
    <row r="143">
      <c r="A143">
        <v>70</v>
      </c>
      <c r="B143" s="1">
        <v>45258</v>
      </c>
      <c r="C143" t="str">
        <v>0920220378</v>
      </c>
      <c r="D143" t="str">
        <v>Toko Sawah Baru</v>
      </c>
      <c r="F143" t="str">
        <v>Jl. Sawah Baru</v>
      </c>
      <c r="G143" t="str">
        <v>Laladon</v>
      </c>
      <c r="H143" t="str">
        <v>Ciomas</v>
      </c>
      <c r="I143" t="str">
        <v>Kab Bogor</v>
      </c>
      <c r="J143" t="str">
        <v>Jawa barat</v>
      </c>
      <c r="K143" t="str">
        <v>0857 16290079</v>
      </c>
      <c r="L143" t="str">
        <v>Publik</v>
      </c>
      <c r="M143" t="str">
        <v>Agus Tiarman</v>
      </c>
      <c r="N143" t="str">
        <v>aktif</v>
      </c>
      <c r="BV143" t="str">
        <v>penempatan</v>
      </c>
      <c r="BW143">
        <v>28</v>
      </c>
      <c r="BX143">
        <v>106000</v>
      </c>
      <c r="BZ143">
        <v>23</v>
      </c>
      <c r="CA143">
        <v>100500</v>
      </c>
      <c r="CF143">
        <v>6</v>
      </c>
      <c r="CG143">
        <v>231000</v>
      </c>
      <c r="CI143">
        <v>23</v>
      </c>
      <c r="CJ143">
        <v>40500</v>
      </c>
      <c r="CL143">
        <v>13</v>
      </c>
      <c r="CM143">
        <v>15500</v>
      </c>
      <c r="CO143">
        <v>12</v>
      </c>
      <c r="CP143">
        <v>105000</v>
      </c>
      <c r="CR143">
        <v>17</v>
      </c>
      <c r="CS143">
        <v>92000</v>
      </c>
      <c r="CU143">
        <v>15</v>
      </c>
      <c r="CV143">
        <v>34500</v>
      </c>
      <c r="CX143">
        <v>19</v>
      </c>
      <c r="CY143">
        <v>261000</v>
      </c>
      <c r="DA143">
        <v>21</v>
      </c>
      <c r="DB143">
        <v>271000</v>
      </c>
      <c r="DD143">
        <v>12</v>
      </c>
      <c r="DE143">
        <v>151000</v>
      </c>
      <c r="DG143">
        <v>12</v>
      </c>
      <c r="DH143">
        <v>361500</v>
      </c>
      <c r="DJ143">
        <v>15</v>
      </c>
      <c r="DK143">
        <v>254000</v>
      </c>
      <c r="DM143">
        <v>18</v>
      </c>
      <c r="DN143">
        <v>525000</v>
      </c>
      <c r="DP143">
        <v>14</v>
      </c>
      <c r="DQ143">
        <v>177000</v>
      </c>
      <c r="DS143">
        <v>22</v>
      </c>
      <c r="DT143">
        <v>430000</v>
      </c>
      <c r="DY143">
        <v>25</v>
      </c>
      <c r="EA143" t="str">
        <v>tutup</v>
      </c>
      <c r="EB143">
        <v>2</v>
      </c>
      <c r="EC143">
        <v>420500</v>
      </c>
      <c r="EE143">
        <v>5</v>
      </c>
      <c r="EF143">
        <v>302000</v>
      </c>
      <c r="EH143">
        <v>3</v>
      </c>
      <c r="EI143">
        <v>253500</v>
      </c>
      <c r="EK143">
        <v>3</v>
      </c>
      <c r="EL143">
        <v>373500</v>
      </c>
      <c r="EN143">
        <v>6</v>
      </c>
      <c r="EO143">
        <v>170500</v>
      </c>
      <c r="EQ143">
        <v>5</v>
      </c>
      <c r="ER143">
        <v>149500</v>
      </c>
    </row>
    <row r="144">
      <c r="A144">
        <v>89</v>
      </c>
      <c r="B144" s="1">
        <v>45258</v>
      </c>
      <c r="C144" t="str">
        <v>0920220379</v>
      </c>
      <c r="D144" t="str">
        <v>Bakso WS</v>
      </c>
      <c r="F144" t="str">
        <v>Jl. Sawah Baru no. 66</v>
      </c>
      <c r="G144" t="str">
        <v>Laladon</v>
      </c>
      <c r="H144" t="str">
        <v>Ciomas</v>
      </c>
      <c r="I144" t="str">
        <v>Kab Bogor</v>
      </c>
      <c r="J144" t="str">
        <v>Jawa barat</v>
      </c>
      <c r="K144" t="str">
        <v>0838 94112748</v>
      </c>
      <c r="L144" t="str">
        <v>Publik</v>
      </c>
      <c r="M144" t="str">
        <v>Agus Tiarman</v>
      </c>
      <c r="N144" t="str">
        <v>non aktif</v>
      </c>
      <c r="BV144" t="str">
        <v>penempatan</v>
      </c>
      <c r="BW144">
        <v>28</v>
      </c>
      <c r="BX144">
        <v>11000</v>
      </c>
      <c r="BZ144">
        <v>23</v>
      </c>
      <c r="CA144">
        <v>6700</v>
      </c>
      <c r="CF144">
        <v>1</v>
      </c>
      <c r="CG144">
        <v>4000</v>
      </c>
      <c r="CI144">
        <v>24</v>
      </c>
      <c r="CJ144">
        <v>53000</v>
      </c>
      <c r="CN144" t="str">
        <v>kosong</v>
      </c>
      <c r="CQ144" t="str">
        <v>kosong</v>
      </c>
      <c r="CR144">
        <v>23</v>
      </c>
      <c r="CS144">
        <v>34000</v>
      </c>
      <c r="CU144">
        <v>12</v>
      </c>
      <c r="CV144">
        <v>10000</v>
      </c>
      <c r="CX144">
        <v>9</v>
      </c>
      <c r="CY144">
        <v>273000</v>
      </c>
      <c r="DA144">
        <v>10</v>
      </c>
      <c r="DB144">
        <v>110000</v>
      </c>
      <c r="DD144">
        <v>12</v>
      </c>
      <c r="DE144">
        <v>11000</v>
      </c>
      <c r="DG144">
        <v>6</v>
      </c>
      <c r="DH144">
        <v>42500</v>
      </c>
      <c r="DJ144">
        <v>11</v>
      </c>
      <c r="DL144" t="str">
        <v>kosong</v>
      </c>
      <c r="DP144">
        <v>5</v>
      </c>
      <c r="DQ144">
        <v>14000</v>
      </c>
      <c r="DS144">
        <v>11</v>
      </c>
      <c r="DT144">
        <v>7000</v>
      </c>
      <c r="DV144">
        <v>8</v>
      </c>
      <c r="DW144">
        <v>35000</v>
      </c>
      <c r="EA144" t="str">
        <v>kosong</v>
      </c>
      <c r="EB144">
        <v>8</v>
      </c>
      <c r="ED144" t="str">
        <v>kosong</v>
      </c>
      <c r="EG144" t="str">
        <v>ditarik</v>
      </c>
    </row>
    <row r="145">
      <c r="A145">
        <v>176</v>
      </c>
      <c r="B145" s="1">
        <v>45259</v>
      </c>
      <c r="C145" t="str">
        <v>0920220380</v>
      </c>
      <c r="D145" t="str">
        <v>Toko Ibu Teti (qurnia)/ibu lenny</v>
      </c>
      <c r="F145" t="str">
        <v>Komp. Goodyear blok A no. 11</v>
      </c>
      <c r="G145" t="str">
        <v>Ciomas Rahayu</v>
      </c>
      <c r="H145" t="str">
        <v>Ciomas</v>
      </c>
      <c r="I145" t="str">
        <v>Kab Bogor</v>
      </c>
      <c r="J145" t="str">
        <v>Jawa barat</v>
      </c>
      <c r="K145" t="str">
        <v>0813 99345603</v>
      </c>
      <c r="L145" t="str">
        <v>Publik</v>
      </c>
      <c r="M145" t="str">
        <v>Agus Tiarman</v>
      </c>
      <c r="N145" t="str">
        <v>non aktif</v>
      </c>
      <c r="BV145" t="str">
        <v>penempatan</v>
      </c>
      <c r="BW145">
        <v>29</v>
      </c>
      <c r="BX145">
        <v>5000</v>
      </c>
      <c r="CC145">
        <v>23</v>
      </c>
      <c r="CE145" t="str">
        <v>kosong</v>
      </c>
      <c r="CN145" t="str">
        <v>ditarik</v>
      </c>
      <c r="EE145">
        <v>25</v>
      </c>
      <c r="EF145">
        <v>100000</v>
      </c>
      <c r="EK145">
        <v>6</v>
      </c>
      <c r="EL145">
        <v>9000</v>
      </c>
      <c r="EP145" t="str">
        <v>ditarik</v>
      </c>
    </row>
    <row r="146">
      <c r="A146">
        <v>71</v>
      </c>
      <c r="B146" s="1">
        <v>45260</v>
      </c>
      <c r="C146" t="str">
        <v>0920220381</v>
      </c>
      <c r="D146" t="str">
        <v>Playdate Abatasa</v>
      </c>
      <c r="F146" t="str">
        <v>Graha Aradea (masjid al Muttaqien)</v>
      </c>
      <c r="G146" t="str">
        <v>Ciherang</v>
      </c>
      <c r="H146" t="str">
        <v xml:space="preserve">Dramaga </v>
      </c>
      <c r="I146" t="str">
        <v>Kab Bogor</v>
      </c>
      <c r="J146" t="str">
        <v>Jawa barat</v>
      </c>
      <c r="K146" t="str">
        <v>0813 18613020</v>
      </c>
      <c r="L146" t="str">
        <v>Publik</v>
      </c>
      <c r="M146" t="str">
        <v>Agus Tiarman</v>
      </c>
      <c r="N146" t="str">
        <v>aktif</v>
      </c>
      <c r="BV146" t="str">
        <v>penempatan</v>
      </c>
      <c r="BZ146">
        <v>5</v>
      </c>
      <c r="CB146" t="str">
        <v>kosong</v>
      </c>
      <c r="CF146">
        <v>4</v>
      </c>
      <c r="CG146">
        <v>82000</v>
      </c>
      <c r="CN146" t="str">
        <v>kosong</v>
      </c>
      <c r="CO146">
        <v>13</v>
      </c>
      <c r="CP146">
        <v>45000</v>
      </c>
      <c r="CU146">
        <v>23</v>
      </c>
      <c r="CV146">
        <v>63000</v>
      </c>
      <c r="DA146">
        <v>26</v>
      </c>
      <c r="DB146">
        <v>29000</v>
      </c>
      <c r="DD146">
        <v>31</v>
      </c>
      <c r="DE146">
        <v>50000</v>
      </c>
      <c r="DG146">
        <v>28</v>
      </c>
      <c r="DH146">
        <v>30000</v>
      </c>
      <c r="DP146">
        <v>17</v>
      </c>
      <c r="DQ146">
        <v>25000</v>
      </c>
      <c r="DS146">
        <v>25</v>
      </c>
      <c r="DU146" t="str">
        <v>kosong</v>
      </c>
      <c r="DV146">
        <v>28</v>
      </c>
      <c r="DW146">
        <v>29000</v>
      </c>
      <c r="DY146">
        <v>23</v>
      </c>
      <c r="EA146" t="str">
        <v>kosong</v>
      </c>
      <c r="EH146">
        <v>22</v>
      </c>
      <c r="EI146">
        <v>30000</v>
      </c>
    </row>
    <row r="147">
      <c r="A147">
        <v>72</v>
      </c>
      <c r="B147" s="1">
        <v>45260</v>
      </c>
      <c r="C147" t="str">
        <v>0920220382</v>
      </c>
      <c r="D147" t="str">
        <v>tkit adzkiya</v>
      </c>
      <c r="F147" t="str">
        <v>Graha Aradea blok LF no.1</v>
      </c>
      <c r="G147" t="str">
        <v>Ciherang</v>
      </c>
      <c r="H147" t="str">
        <v xml:space="preserve">Dramaga </v>
      </c>
      <c r="I147" t="str">
        <v>Kab Bogor</v>
      </c>
      <c r="J147" t="str">
        <v>Jawa barat</v>
      </c>
      <c r="K147" t="str">
        <v>0851 75230815</v>
      </c>
      <c r="L147" t="str">
        <v>Publik</v>
      </c>
      <c r="M147" t="str">
        <v>Agus Tiarman</v>
      </c>
      <c r="N147" t="str">
        <v>aktif</v>
      </c>
      <c r="BV147" t="str">
        <v>penempatan</v>
      </c>
      <c r="BZ147">
        <v>16</v>
      </c>
      <c r="CB147" t="str">
        <v>kosong</v>
      </c>
      <c r="CF147">
        <v>26</v>
      </c>
      <c r="CG147">
        <v>98000</v>
      </c>
      <c r="CL147">
        <v>29</v>
      </c>
      <c r="CM147">
        <v>108000</v>
      </c>
      <c r="CQ147" t="str">
        <v>kosong</v>
      </c>
      <c r="CU147">
        <v>13</v>
      </c>
      <c r="CV147">
        <v>88000</v>
      </c>
      <c r="DA147">
        <v>17</v>
      </c>
      <c r="DB147">
        <v>87000</v>
      </c>
      <c r="DG147">
        <v>5</v>
      </c>
      <c r="DH147">
        <v>55000</v>
      </c>
      <c r="DM147">
        <v>12</v>
      </c>
      <c r="DN147">
        <v>60000</v>
      </c>
      <c r="DR147" t="str">
        <v>kosong</v>
      </c>
      <c r="DS147">
        <v>25</v>
      </c>
      <c r="DT147">
        <v>128000</v>
      </c>
      <c r="DY147" t="str">
        <v>26  23</v>
      </c>
      <c r="DZ147">
        <v>76000</v>
      </c>
      <c r="EA147" t="str">
        <v>kosong-23</v>
      </c>
      <c r="EH147">
        <v>27</v>
      </c>
      <c r="EI147">
        <v>72000</v>
      </c>
      <c r="EK147">
        <v>22</v>
      </c>
      <c r="EL147">
        <v>80500</v>
      </c>
    </row>
    <row r="148">
      <c r="A148">
        <v>73</v>
      </c>
      <c r="B148" s="1">
        <v>45260</v>
      </c>
      <c r="C148" t="str">
        <v>0920220383</v>
      </c>
      <c r="D148" t="str">
        <v>toko beras H.M Nasution</v>
      </c>
      <c r="F148" t="str">
        <v>ciherang kaum</v>
      </c>
      <c r="G148" t="str">
        <v>Ciherang</v>
      </c>
      <c r="H148" t="str">
        <v xml:space="preserve">Dramaga </v>
      </c>
      <c r="I148" t="str">
        <v>Kab Bogor</v>
      </c>
      <c r="J148" t="str">
        <v>Jawa barat</v>
      </c>
      <c r="K148" t="str">
        <v>0856 7370085</v>
      </c>
      <c r="L148" t="str">
        <v>Publik</v>
      </c>
      <c r="M148" t="str">
        <v>Agus Tiarman</v>
      </c>
      <c r="N148" t="str">
        <v>aktif</v>
      </c>
      <c r="BV148" t="str">
        <v>penempatan</v>
      </c>
      <c r="BZ148">
        <v>16</v>
      </c>
      <c r="CA148">
        <v>21000</v>
      </c>
      <c r="CC148">
        <v>27</v>
      </c>
      <c r="CD148">
        <v>40500</v>
      </c>
      <c r="CF148">
        <v>26</v>
      </c>
      <c r="CG148">
        <v>4000</v>
      </c>
      <c r="CI148">
        <v>24</v>
      </c>
      <c r="CJ148">
        <v>2500</v>
      </c>
      <c r="CL148">
        <v>13</v>
      </c>
      <c r="CM148">
        <v>3000</v>
      </c>
      <c r="CO148">
        <v>13</v>
      </c>
      <c r="CP148">
        <v>10000</v>
      </c>
      <c r="CR148">
        <v>12</v>
      </c>
      <c r="CS148">
        <v>22000</v>
      </c>
      <c r="CU148">
        <v>13</v>
      </c>
      <c r="CV148">
        <v>16000</v>
      </c>
      <c r="CX148">
        <v>12</v>
      </c>
      <c r="CY148">
        <v>3000</v>
      </c>
      <c r="DA148">
        <v>17</v>
      </c>
      <c r="DB148">
        <v>7000</v>
      </c>
      <c r="DG148">
        <v>16</v>
      </c>
      <c r="DH148">
        <v>51500</v>
      </c>
      <c r="DJ148">
        <v>15</v>
      </c>
      <c r="DK148">
        <v>6000</v>
      </c>
      <c r="DM148">
        <v>12</v>
      </c>
      <c r="DN148">
        <v>25000</v>
      </c>
      <c r="DP148">
        <v>7</v>
      </c>
      <c r="DQ148">
        <v>14000</v>
      </c>
      <c r="DS148">
        <v>14</v>
      </c>
      <c r="DT148">
        <v>8000</v>
      </c>
      <c r="DV148">
        <v>19</v>
      </c>
      <c r="DW148">
        <v>4000</v>
      </c>
      <c r="DY148" t="str">
        <v>20  23</v>
      </c>
      <c r="DZ148">
        <v>11000</v>
      </c>
      <c r="EA148" t="str">
        <v>tutup-20</v>
      </c>
      <c r="EB148">
        <v>14</v>
      </c>
      <c r="EC148">
        <v>5000</v>
      </c>
      <c r="EE148">
        <v>13</v>
      </c>
      <c r="EF148">
        <v>10000</v>
      </c>
      <c r="EH148">
        <v>10</v>
      </c>
      <c r="EI148">
        <v>10000</v>
      </c>
      <c r="EK148">
        <v>8</v>
      </c>
      <c r="EL148">
        <v>10000</v>
      </c>
      <c r="EN148">
        <v>7</v>
      </c>
      <c r="EO148">
        <v>10000</v>
      </c>
      <c r="EQ148">
        <v>9</v>
      </c>
      <c r="ES148" t="str">
        <v>kosong</v>
      </c>
    </row>
    <row r="149">
      <c r="A149">
        <v>74</v>
      </c>
      <c r="B149" s="1">
        <v>45260</v>
      </c>
      <c r="C149" t="str">
        <v>0920220384</v>
      </c>
      <c r="D149" t="str">
        <v>toko sayur nauli</v>
      </c>
      <c r="F149" t="str">
        <v>ciherang raya</v>
      </c>
      <c r="G149" t="str">
        <v>Ciherang</v>
      </c>
      <c r="H149" t="str">
        <v xml:space="preserve">Dramaga </v>
      </c>
      <c r="I149" t="str">
        <v>Kab Bogor</v>
      </c>
      <c r="J149" t="str">
        <v>Jawa barat</v>
      </c>
      <c r="K149" t="str">
        <v>0822 58697378</v>
      </c>
      <c r="L149" t="str">
        <v>Publik</v>
      </c>
      <c r="M149" t="str">
        <v>Agus Tiarman</v>
      </c>
      <c r="N149" t="str">
        <v>aktif</v>
      </c>
      <c r="BV149" t="str">
        <v>penempatan</v>
      </c>
      <c r="BZ149">
        <v>16</v>
      </c>
      <c r="CA149">
        <v>10000</v>
      </c>
      <c r="CF149">
        <v>4</v>
      </c>
      <c r="CH149" t="str">
        <v>kosong</v>
      </c>
      <c r="CI149">
        <v>24</v>
      </c>
      <c r="CJ149">
        <v>11500</v>
      </c>
      <c r="CL149">
        <v>13</v>
      </c>
      <c r="CM149">
        <v>7000</v>
      </c>
      <c r="CO149">
        <v>13</v>
      </c>
      <c r="CP149">
        <v>5000</v>
      </c>
      <c r="CR149">
        <v>12</v>
      </c>
      <c r="CS149">
        <v>7500</v>
      </c>
      <c r="CU149">
        <v>13</v>
      </c>
      <c r="CV149">
        <v>7000</v>
      </c>
      <c r="CX149">
        <v>12</v>
      </c>
      <c r="CY149">
        <v>2000</v>
      </c>
      <c r="DA149">
        <v>17</v>
      </c>
      <c r="DB149">
        <v>26000</v>
      </c>
      <c r="DD149">
        <v>19</v>
      </c>
      <c r="DE149">
        <v>10000</v>
      </c>
      <c r="DG149">
        <v>16</v>
      </c>
      <c r="DH149">
        <v>51500</v>
      </c>
      <c r="DJ149">
        <v>15</v>
      </c>
      <c r="DK149">
        <v>2000</v>
      </c>
      <c r="DM149">
        <v>12</v>
      </c>
      <c r="DN149">
        <v>11000</v>
      </c>
      <c r="DP149">
        <v>7</v>
      </c>
      <c r="DQ149">
        <v>8000</v>
      </c>
      <c r="DS149">
        <v>14</v>
      </c>
      <c r="DT149">
        <v>19000</v>
      </c>
      <c r="DV149" t="str">
        <v>19  23</v>
      </c>
      <c r="DW149">
        <v>19000</v>
      </c>
      <c r="DY149">
        <v>20</v>
      </c>
      <c r="DZ149">
        <v>12000</v>
      </c>
      <c r="EB149">
        <v>14</v>
      </c>
      <c r="EC149">
        <v>50000</v>
      </c>
      <c r="EE149">
        <v>14</v>
      </c>
      <c r="EF149">
        <v>34000</v>
      </c>
      <c r="EH149">
        <v>10</v>
      </c>
      <c r="EI149">
        <v>12000</v>
      </c>
      <c r="EK149">
        <v>8</v>
      </c>
      <c r="EL149">
        <v>10000</v>
      </c>
      <c r="EN149">
        <v>7</v>
      </c>
      <c r="EO149">
        <v>6500</v>
      </c>
      <c r="EQ149">
        <v>5</v>
      </c>
      <c r="ER149">
        <v>10000</v>
      </c>
    </row>
    <row r="150">
      <c r="A150">
        <v>75</v>
      </c>
      <c r="B150" s="1">
        <v>45261</v>
      </c>
      <c r="C150" t="str">
        <v>0920220385</v>
      </c>
      <c r="D150" t="str">
        <v>toko sayur Arrabi</v>
      </c>
      <c r="F150" t="str">
        <v>jl. gapura raya komp. goodyear ciomas</v>
      </c>
      <c r="G150" t="str">
        <v>Ciomas Rahayu</v>
      </c>
      <c r="H150" t="str">
        <v>Ciomas</v>
      </c>
      <c r="I150" t="str">
        <v>Kab Bogor</v>
      </c>
      <c r="J150" t="str">
        <v>Jawa barat</v>
      </c>
      <c r="K150" t="str">
        <v>0821 30032949</v>
      </c>
      <c r="L150" t="str">
        <v>Publik</v>
      </c>
      <c r="M150" t="str">
        <v>Agus Tiarman</v>
      </c>
      <c r="N150" t="str">
        <v>aktif</v>
      </c>
      <c r="BW150">
        <v>29</v>
      </c>
      <c r="BX150">
        <v>30000</v>
      </c>
      <c r="BY150" t="str">
        <v>penempatan</v>
      </c>
      <c r="BZ150">
        <v>25</v>
      </c>
      <c r="CA150">
        <v>33500</v>
      </c>
      <c r="CC150">
        <v>21</v>
      </c>
      <c r="CD150">
        <v>56000</v>
      </c>
      <c r="CF150">
        <v>25</v>
      </c>
      <c r="CG150">
        <v>72000</v>
      </c>
      <c r="CI150">
        <v>19</v>
      </c>
      <c r="CJ150">
        <v>34500</v>
      </c>
      <c r="CL150">
        <v>17</v>
      </c>
      <c r="CM150">
        <v>44000</v>
      </c>
      <c r="CO150">
        <v>14</v>
      </c>
      <c r="CP150">
        <v>48000</v>
      </c>
      <c r="CR150">
        <v>12</v>
      </c>
      <c r="CS150">
        <v>42500</v>
      </c>
      <c r="CU150">
        <v>14</v>
      </c>
      <c r="CV150">
        <v>48000</v>
      </c>
      <c r="CX150">
        <v>13</v>
      </c>
      <c r="CY150">
        <v>56000</v>
      </c>
      <c r="DA150">
        <v>14</v>
      </c>
      <c r="DB150">
        <v>51000</v>
      </c>
      <c r="DD150">
        <v>14</v>
      </c>
      <c r="DE150">
        <v>55000</v>
      </c>
      <c r="DG150">
        <v>13</v>
      </c>
      <c r="DH150">
        <v>44000</v>
      </c>
      <c r="DJ150">
        <v>17</v>
      </c>
      <c r="DK150">
        <v>32000</v>
      </c>
      <c r="DM150">
        <v>18</v>
      </c>
      <c r="DN150">
        <v>32000</v>
      </c>
      <c r="DP150">
        <v>18</v>
      </c>
      <c r="DQ150">
        <v>60000</v>
      </c>
      <c r="DS150">
        <v>24</v>
      </c>
      <c r="DT150">
        <v>25000</v>
      </c>
      <c r="DV150">
        <v>20</v>
      </c>
      <c r="DW150">
        <v>54000</v>
      </c>
      <c r="DY150">
        <v>17</v>
      </c>
      <c r="DZ150">
        <v>20500</v>
      </c>
      <c r="EB150">
        <v>17</v>
      </c>
      <c r="EC150">
        <v>25000</v>
      </c>
      <c r="EE150">
        <v>25</v>
      </c>
      <c r="EF150">
        <v>22000</v>
      </c>
      <c r="EH150">
        <v>19</v>
      </c>
      <c r="EI150">
        <v>30000</v>
      </c>
      <c r="EK150" t="str">
        <v>17  22</v>
      </c>
      <c r="EL150">
        <v>30000</v>
      </c>
      <c r="EM150" t="str">
        <v>kosong</v>
      </c>
      <c r="EN150">
        <v>20</v>
      </c>
      <c r="EO150">
        <v>26000</v>
      </c>
    </row>
    <row r="151">
      <c r="A151">
        <v>76</v>
      </c>
      <c r="C151" t="str">
        <v>0920220386</v>
      </c>
      <c r="D151" t="str">
        <v>Ida Parida</v>
      </c>
      <c r="F151" t="str">
        <v>Jl. Flamboyan no.96 komp alam sinarsari dramaga bogor</v>
      </c>
      <c r="G151" t="str">
        <v>Sinarsari</v>
      </c>
      <c r="H151" t="str">
        <v>Dramaga</v>
      </c>
      <c r="I151" t="str">
        <v>Kab Bogor</v>
      </c>
      <c r="J151" t="str">
        <v>Jabar</v>
      </c>
      <c r="L151" t="str">
        <v>Home</v>
      </c>
      <c r="M151" t="str">
        <v>Helly</v>
      </c>
      <c r="N151" t="str">
        <v>aktif</v>
      </c>
      <c r="S151">
        <v>154000</v>
      </c>
      <c r="AG151">
        <v>25</v>
      </c>
      <c r="AH151">
        <v>100000</v>
      </c>
      <c r="AS151">
        <v>29</v>
      </c>
      <c r="AT151">
        <v>65000</v>
      </c>
      <c r="AV151">
        <v>22</v>
      </c>
      <c r="AX151" t="str">
        <v>kosong</v>
      </c>
      <c r="BG151" t="str">
        <v>kosong</v>
      </c>
      <c r="BS151" t="str">
        <v>kosong</v>
      </c>
      <c r="BV151" t="str">
        <v>kosong</v>
      </c>
      <c r="BZ151">
        <v>11</v>
      </c>
      <c r="CA151">
        <v>85500</v>
      </c>
      <c r="CN151" t="str">
        <v>kosong</v>
      </c>
      <c r="CO151">
        <v>24</v>
      </c>
      <c r="CP151">
        <v>96000</v>
      </c>
      <c r="CW151" t="str">
        <v>kosong</v>
      </c>
      <c r="DP151">
        <v>10</v>
      </c>
      <c r="DQ151">
        <v>74500</v>
      </c>
      <c r="DY151">
        <v>25</v>
      </c>
      <c r="DZ151">
        <v>72000</v>
      </c>
      <c r="EE151">
        <v>22</v>
      </c>
      <c r="EF151">
        <v>40500</v>
      </c>
      <c r="EP151" t="str">
        <v>kosong</v>
      </c>
    </row>
    <row r="152">
      <c r="A152">
        <v>77</v>
      </c>
      <c r="B152" s="1">
        <v>45314</v>
      </c>
      <c r="C152" t="str">
        <v>0120240049</v>
      </c>
      <c r="D152" t="str">
        <v xml:space="preserve">Warteg Kharisma Bahari Pagelaran </v>
      </c>
      <c r="F152" t="str">
        <v>jl. raya Taman pagelaran</v>
      </c>
      <c r="G152" t="str">
        <v>padasuka</v>
      </c>
      <c r="H152" t="str">
        <v>ciomas</v>
      </c>
      <c r="I152" t="str">
        <v>Kab Bogor</v>
      </c>
      <c r="J152" t="str">
        <v>Jawa barat</v>
      </c>
      <c r="K152">
        <v>85721829711</v>
      </c>
      <c r="L152" t="str">
        <v>Publik</v>
      </c>
      <c r="M152" t="str">
        <v>Firdaus</v>
      </c>
      <c r="N152" t="str">
        <v>aktif</v>
      </c>
      <c r="CC152">
        <v>19</v>
      </c>
      <c r="CD152">
        <v>7500</v>
      </c>
      <c r="CF152">
        <v>12</v>
      </c>
      <c r="CG152">
        <v>13000</v>
      </c>
      <c r="CI152">
        <v>2</v>
      </c>
      <c r="CJ152">
        <v>5000</v>
      </c>
      <c r="CL152">
        <v>3</v>
      </c>
      <c r="CM152">
        <v>3000</v>
      </c>
      <c r="CO152">
        <v>20</v>
      </c>
      <c r="CP152">
        <v>26000</v>
      </c>
      <c r="CT152" t="str">
        <v>tutup</v>
      </c>
      <c r="CU152">
        <v>2</v>
      </c>
      <c r="CV152">
        <v>13000</v>
      </c>
      <c r="CX152">
        <v>2</v>
      </c>
      <c r="CY152">
        <v>13000</v>
      </c>
      <c r="DA152">
        <v>8</v>
      </c>
      <c r="DB152">
        <v>13000</v>
      </c>
      <c r="DD152">
        <v>7</v>
      </c>
      <c r="DE152">
        <v>4000</v>
      </c>
      <c r="DG152">
        <v>2</v>
      </c>
      <c r="DH152">
        <v>6000</v>
      </c>
      <c r="DJ152">
        <v>7</v>
      </c>
      <c r="DK152">
        <v>5000</v>
      </c>
      <c r="DM152">
        <v>6</v>
      </c>
      <c r="DN152">
        <v>8000</v>
      </c>
      <c r="DP152">
        <v>6</v>
      </c>
      <c r="DQ152">
        <v>17000</v>
      </c>
      <c r="DS152">
        <v>22</v>
      </c>
      <c r="DT152">
        <v>3000</v>
      </c>
      <c r="DV152" s="1">
        <v>45800</v>
      </c>
      <c r="DW152">
        <v>14000</v>
      </c>
      <c r="DY152">
        <v>5</v>
      </c>
      <c r="DZ152">
        <v>14000</v>
      </c>
      <c r="EB152">
        <v>2</v>
      </c>
      <c r="EC152">
        <v>24500</v>
      </c>
      <c r="EE152">
        <v>6</v>
      </c>
      <c r="EF152">
        <v>6000</v>
      </c>
      <c r="EH152">
        <v>3</v>
      </c>
      <c r="EJ152" t="str">
        <v>kosong</v>
      </c>
      <c r="EK152">
        <v>8</v>
      </c>
      <c r="EL152">
        <v>10000</v>
      </c>
      <c r="EN152">
        <v>7</v>
      </c>
      <c r="EO152">
        <v>31000</v>
      </c>
      <c r="EQ152">
        <v>5</v>
      </c>
      <c r="ER152">
        <v>7000</v>
      </c>
    </row>
    <row r="153">
      <c r="A153">
        <v>96</v>
      </c>
      <c r="B153" s="1">
        <v>45314</v>
      </c>
      <c r="C153" t="str">
        <v>0120240050</v>
      </c>
      <c r="D153" t="str">
        <v>Toko UD Sinar cahaya</v>
      </c>
      <c r="F153" t="str">
        <v>jl. raya Taman pagelaran</v>
      </c>
      <c r="G153" t="str">
        <v>padasuka</v>
      </c>
      <c r="H153" t="str">
        <v>ciomas</v>
      </c>
      <c r="I153" t="str">
        <v>Kab Bogor</v>
      </c>
      <c r="J153" t="str">
        <v>Jawa barat</v>
      </c>
      <c r="K153" t="str">
        <v>0858 10361194</v>
      </c>
      <c r="L153" t="str">
        <v>Publik</v>
      </c>
      <c r="M153" t="str">
        <v>Firdaus</v>
      </c>
      <c r="N153" t="str">
        <v>aktif</v>
      </c>
      <c r="CC153">
        <v>13</v>
      </c>
      <c r="CD153">
        <v>40000</v>
      </c>
      <c r="CF153">
        <v>12</v>
      </c>
      <c r="CG153">
        <v>4000</v>
      </c>
      <c r="CI153">
        <v>2</v>
      </c>
      <c r="CJ153">
        <v>22000</v>
      </c>
      <c r="CN153" t="str">
        <v>kosong</v>
      </c>
      <c r="CO153">
        <v>4</v>
      </c>
      <c r="CP153">
        <v>18000</v>
      </c>
      <c r="CR153">
        <v>3</v>
      </c>
      <c r="CS153">
        <v>10000</v>
      </c>
      <c r="CU153">
        <v>2</v>
      </c>
      <c r="CV153">
        <v>16000</v>
      </c>
      <c r="CX153">
        <v>2</v>
      </c>
      <c r="CY153">
        <v>12000</v>
      </c>
      <c r="DC153" t="str">
        <v>kosong</v>
      </c>
      <c r="DD153">
        <v>26</v>
      </c>
      <c r="DE153">
        <v>14000</v>
      </c>
      <c r="DF153" t="str">
        <v>di tarik</v>
      </c>
      <c r="DV153">
        <v>23</v>
      </c>
      <c r="DW153">
        <v>10000</v>
      </c>
      <c r="DY153">
        <v>20</v>
      </c>
      <c r="DZ153">
        <v>25000</v>
      </c>
      <c r="EB153">
        <v>18</v>
      </c>
      <c r="EC153">
        <v>28000</v>
      </c>
      <c r="EE153">
        <v>15</v>
      </c>
      <c r="EF153">
        <v>25000</v>
      </c>
      <c r="EH153">
        <v>16</v>
      </c>
      <c r="EI153">
        <v>25000</v>
      </c>
      <c r="EK153">
        <v>16</v>
      </c>
      <c r="EL153">
        <v>20000</v>
      </c>
      <c r="EN153">
        <v>17</v>
      </c>
      <c r="EO153">
        <v>20000</v>
      </c>
    </row>
    <row r="154">
      <c r="A154">
        <v>78</v>
      </c>
      <c r="B154" s="1">
        <v>45314</v>
      </c>
      <c r="C154" t="str">
        <v>0120240051</v>
      </c>
      <c r="D154" t="str">
        <v>aexon potocopy deket 27</v>
      </c>
      <c r="F154" t="str">
        <v>jl. raya Taman pagelaran cc1 no. 27</v>
      </c>
      <c r="G154" t="str">
        <v>padasuka</v>
      </c>
      <c r="H154" t="str">
        <v>ciomas</v>
      </c>
      <c r="I154" t="str">
        <v>Kab Bogor</v>
      </c>
      <c r="J154" t="str">
        <v>Jawa barat</v>
      </c>
      <c r="K154" t="str">
        <v>0813 1551 5858</v>
      </c>
      <c r="L154" t="str">
        <v>Publik</v>
      </c>
      <c r="M154" t="str">
        <v>Firdaus</v>
      </c>
      <c r="N154" t="str">
        <v>aktif</v>
      </c>
      <c r="CC154">
        <v>13</v>
      </c>
      <c r="CD154">
        <v>4000</v>
      </c>
      <c r="CF154">
        <v>12</v>
      </c>
      <c r="CG154">
        <v>17000</v>
      </c>
      <c r="CI154">
        <v>2</v>
      </c>
      <c r="CJ154">
        <v>7500</v>
      </c>
      <c r="CL154">
        <v>3</v>
      </c>
      <c r="CM154">
        <v>15000</v>
      </c>
      <c r="CO154">
        <v>3</v>
      </c>
      <c r="CP154">
        <v>8000</v>
      </c>
      <c r="CR154">
        <v>4</v>
      </c>
      <c r="CS154">
        <v>22000</v>
      </c>
      <c r="CW154" t="str">
        <v>kosong</v>
      </c>
      <c r="DA154">
        <v>8</v>
      </c>
      <c r="DB154">
        <v>9500</v>
      </c>
      <c r="DD154">
        <v>7</v>
      </c>
      <c r="DE154">
        <v>9000</v>
      </c>
      <c r="DJ154">
        <v>7</v>
      </c>
      <c r="DK154">
        <v>5000</v>
      </c>
      <c r="DM154">
        <v>12</v>
      </c>
      <c r="DN154">
        <v>5000</v>
      </c>
      <c r="DP154">
        <v>6</v>
      </c>
      <c r="DR154" t="str">
        <v>kosong</v>
      </c>
      <c r="DS154">
        <v>22</v>
      </c>
      <c r="DT154">
        <v>10000</v>
      </c>
      <c r="DY154">
        <v>13</v>
      </c>
      <c r="DZ154">
        <v>5500</v>
      </c>
      <c r="EB154">
        <v>15</v>
      </c>
      <c r="EC154">
        <v>9500</v>
      </c>
      <c r="EE154">
        <v>15</v>
      </c>
      <c r="EF154">
        <v>12000</v>
      </c>
      <c r="EH154">
        <v>16</v>
      </c>
      <c r="EJ154" t="str">
        <v>kosong</v>
      </c>
      <c r="EK154">
        <v>16</v>
      </c>
      <c r="EL154">
        <v>10500</v>
      </c>
      <c r="EN154">
        <v>10</v>
      </c>
      <c r="EO154">
        <v>8000</v>
      </c>
      <c r="EQ154">
        <v>5</v>
      </c>
      <c r="ER154">
        <v>11000</v>
      </c>
    </row>
    <row r="155">
      <c r="A155">
        <v>98</v>
      </c>
      <c r="B155" s="1">
        <v>45314</v>
      </c>
      <c r="C155" t="str">
        <v>0120240052</v>
      </c>
      <c r="D155" t="str">
        <v>Happy poto copy/ toko luluk madura</v>
      </c>
      <c r="F155" t="str">
        <v>jl. raya Taman pagelaran cc1 no. 17</v>
      </c>
      <c r="G155" t="str">
        <v>padasuka</v>
      </c>
      <c r="H155" t="str">
        <v>ciomas</v>
      </c>
      <c r="I155" t="str">
        <v>Kab Bogor</v>
      </c>
      <c r="J155" t="str">
        <v>Jawa barat</v>
      </c>
      <c r="K155" t="str">
        <v>0859 52463264</v>
      </c>
      <c r="L155" t="str">
        <v>Publik</v>
      </c>
      <c r="M155" t="str">
        <v>Firdaus</v>
      </c>
      <c r="N155" t="str">
        <v>aktif</v>
      </c>
      <c r="CC155">
        <v>16</v>
      </c>
      <c r="CD155">
        <v>3700</v>
      </c>
      <c r="CF155">
        <v>12</v>
      </c>
      <c r="CG155">
        <v>2500</v>
      </c>
      <c r="CL155">
        <v>3</v>
      </c>
      <c r="CM155">
        <v>3500</v>
      </c>
      <c r="CO155">
        <v>4</v>
      </c>
      <c r="CP155">
        <v>7000</v>
      </c>
      <c r="CT155" t="str">
        <v>kosong</v>
      </c>
      <c r="CU155">
        <v>2</v>
      </c>
      <c r="CV155">
        <v>6000</v>
      </c>
      <c r="DA155">
        <v>8</v>
      </c>
      <c r="DB155">
        <v>9000</v>
      </c>
      <c r="DG155">
        <v>2</v>
      </c>
      <c r="DH155">
        <v>11000</v>
      </c>
      <c r="DJ155">
        <v>7</v>
      </c>
      <c r="DK155">
        <v>2000</v>
      </c>
      <c r="DR155" t="str">
        <v>kosong</v>
      </c>
      <c r="EA155" t="str">
        <v>kosong</v>
      </c>
      <c r="EJ155" t="str">
        <v>ditarik</v>
      </c>
      <c r="EQ155">
        <v>27</v>
      </c>
      <c r="ES155" t="str">
        <v>penempatan</v>
      </c>
    </row>
    <row r="156">
      <c r="A156">
        <v>79</v>
      </c>
      <c r="B156" s="1">
        <v>44971</v>
      </c>
      <c r="C156" t="str">
        <v>0920220092</v>
      </c>
      <c r="D156" t="str">
        <v>Bimba aiueo pagelaran/ kantin Rainbow</v>
      </c>
      <c r="F156" t="str">
        <v>Jl.Taman Pagelaran Padasuka Ciomas Bogor blok f1 no. 3</v>
      </c>
      <c r="G156" t="str">
        <v>Padasuka</v>
      </c>
      <c r="H156" t="str">
        <v>Ciomas</v>
      </c>
      <c r="I156" t="str">
        <v>Kab.Bogor</v>
      </c>
      <c r="J156" t="str">
        <v>Jawa Barat</v>
      </c>
      <c r="L156" t="str">
        <v>publik</v>
      </c>
      <c r="M156" t="str">
        <v>Dian J</v>
      </c>
      <c r="N156" t="str">
        <v>aktif</v>
      </c>
      <c r="AS156">
        <v>14</v>
      </c>
      <c r="AT156">
        <v>10000</v>
      </c>
      <c r="AV156">
        <v>28</v>
      </c>
      <c r="AX156" t="str">
        <v>kosong</v>
      </c>
      <c r="AY156">
        <v>10</v>
      </c>
      <c r="AZ156">
        <v>26000</v>
      </c>
      <c r="BB156">
        <v>17</v>
      </c>
      <c r="BC156">
        <v>10000</v>
      </c>
      <c r="BE156">
        <v>27</v>
      </c>
      <c r="BF156">
        <v>6000</v>
      </c>
      <c r="BN156">
        <v>15</v>
      </c>
      <c r="BO156">
        <v>18000</v>
      </c>
      <c r="BQ156">
        <v>12</v>
      </c>
      <c r="BR156">
        <v>8000</v>
      </c>
      <c r="BT156">
        <v>13</v>
      </c>
      <c r="BU156">
        <v>11500</v>
      </c>
      <c r="BW156">
        <v>11</v>
      </c>
      <c r="BX156">
        <v>5000</v>
      </c>
      <c r="BZ156">
        <v>10</v>
      </c>
      <c r="CA156">
        <v>34000</v>
      </c>
      <c r="CC156">
        <v>13</v>
      </c>
      <c r="CD156">
        <v>14000</v>
      </c>
      <c r="CF156">
        <v>12</v>
      </c>
      <c r="CG156">
        <v>7000</v>
      </c>
      <c r="CI156">
        <v>2</v>
      </c>
      <c r="CJ156">
        <v>4000</v>
      </c>
      <c r="CL156">
        <v>3</v>
      </c>
      <c r="CM156">
        <v>24000</v>
      </c>
      <c r="CO156">
        <v>14</v>
      </c>
      <c r="CP156">
        <v>5000</v>
      </c>
      <c r="CR156">
        <v>3</v>
      </c>
      <c r="CS156">
        <v>4000</v>
      </c>
      <c r="CU156">
        <v>2</v>
      </c>
      <c r="CV156">
        <v>21000</v>
      </c>
      <c r="CX156">
        <v>2</v>
      </c>
      <c r="CY156">
        <v>4000</v>
      </c>
      <c r="DA156">
        <v>8</v>
      </c>
      <c r="DB156">
        <v>10000</v>
      </c>
      <c r="DD156">
        <v>7</v>
      </c>
      <c r="DE156">
        <v>14000</v>
      </c>
      <c r="DG156">
        <v>2</v>
      </c>
      <c r="DH156">
        <v>18000</v>
      </c>
      <c r="DJ156">
        <v>7</v>
      </c>
      <c r="DK156">
        <v>4000</v>
      </c>
      <c r="DM156">
        <v>6</v>
      </c>
      <c r="DN156">
        <v>2000</v>
      </c>
      <c r="DP156">
        <v>4</v>
      </c>
      <c r="DQ156">
        <v>10000</v>
      </c>
      <c r="DS156">
        <v>11</v>
      </c>
      <c r="DT156">
        <v>5500</v>
      </c>
      <c r="DV156">
        <v>8</v>
      </c>
      <c r="DX156" t="str">
        <v>kosong</v>
      </c>
      <c r="DY156">
        <v>4</v>
      </c>
      <c r="DZ156">
        <v>4000</v>
      </c>
      <c r="EE156">
        <v>30</v>
      </c>
      <c r="EF156">
        <v>8000</v>
      </c>
      <c r="EH156" t="str">
        <v>27  18</v>
      </c>
      <c r="EI156">
        <f>4000+6000</f>
        <v>10000</v>
      </c>
      <c r="EK156" s="1">
        <v>45859</v>
      </c>
      <c r="EL156">
        <f>16000+5000</f>
        <v>21000</v>
      </c>
      <c r="EN156">
        <v>5</v>
      </c>
      <c r="EO156">
        <v>5000</v>
      </c>
      <c r="EQ156">
        <v>3</v>
      </c>
      <c r="ER156">
        <v>13000</v>
      </c>
    </row>
    <row r="157">
      <c r="A157">
        <v>80</v>
      </c>
      <c r="B157" s="1">
        <v>44832</v>
      </c>
      <c r="C157" t="str">
        <v>0920220035</v>
      </c>
      <c r="D157" t="str">
        <v>Bazar Buah Ali Mart 4</v>
      </c>
      <c r="E157">
        <v>802</v>
      </c>
      <c r="F157" t="str">
        <v>Jl.Raya Taman Pagelaran</v>
      </c>
      <c r="G157" t="str">
        <v>Padasuka</v>
      </c>
      <c r="H157" t="str">
        <v>Ciomas</v>
      </c>
      <c r="I157" t="str">
        <v>Kab.Bogor</v>
      </c>
      <c r="J157" t="str">
        <v>Jawa Barat</v>
      </c>
      <c r="K157">
        <v>88298521431</v>
      </c>
      <c r="L157" t="str">
        <v>Publik</v>
      </c>
      <c r="M157" t="str">
        <v>Dian J</v>
      </c>
      <c r="N157" t="str">
        <v>aktif</v>
      </c>
      <c r="AG157">
        <v>25</v>
      </c>
      <c r="AH157">
        <v>46000</v>
      </c>
      <c r="AJ157">
        <v>24</v>
      </c>
      <c r="AK157">
        <v>11000</v>
      </c>
      <c r="AM157">
        <v>19</v>
      </c>
      <c r="AN157">
        <v>17500</v>
      </c>
      <c r="AP157">
        <v>17</v>
      </c>
      <c r="AQ157">
        <v>24000</v>
      </c>
      <c r="AS157">
        <v>14</v>
      </c>
      <c r="AT157">
        <v>45500</v>
      </c>
      <c r="AV157">
        <v>15</v>
      </c>
      <c r="AW157">
        <v>22000</v>
      </c>
      <c r="AY157">
        <v>10</v>
      </c>
      <c r="AZ157">
        <v>8000</v>
      </c>
      <c r="BB157">
        <v>17</v>
      </c>
      <c r="BC157">
        <v>13000</v>
      </c>
      <c r="BE157">
        <v>13</v>
      </c>
      <c r="BF157">
        <v>9000</v>
      </c>
      <c r="BH157">
        <v>17</v>
      </c>
      <c r="BI157">
        <v>41500</v>
      </c>
      <c r="BK157">
        <v>16</v>
      </c>
      <c r="BL157">
        <v>13000</v>
      </c>
      <c r="BN157">
        <v>15</v>
      </c>
      <c r="BO157">
        <v>9000</v>
      </c>
      <c r="BQ157">
        <v>12</v>
      </c>
      <c r="BR157">
        <v>24500</v>
      </c>
      <c r="BT157">
        <v>13</v>
      </c>
      <c r="BU157">
        <v>46000</v>
      </c>
      <c r="BW157">
        <v>21</v>
      </c>
      <c r="BY157" t="str">
        <v>kosong</v>
      </c>
      <c r="BZ157">
        <v>10</v>
      </c>
      <c r="CA157">
        <v>14000</v>
      </c>
      <c r="CC157">
        <v>13</v>
      </c>
      <c r="CD157">
        <v>17000</v>
      </c>
      <c r="CF157">
        <v>12</v>
      </c>
      <c r="CG157">
        <v>9000</v>
      </c>
      <c r="CI157">
        <v>2</v>
      </c>
      <c r="CJ157">
        <v>16000</v>
      </c>
      <c r="CL157">
        <v>3</v>
      </c>
      <c r="CM157">
        <v>36000</v>
      </c>
      <c r="CO157">
        <v>3</v>
      </c>
      <c r="CP157">
        <v>19000</v>
      </c>
      <c r="CR157">
        <v>4</v>
      </c>
      <c r="CS157">
        <v>28000</v>
      </c>
      <c r="CU157">
        <v>2</v>
      </c>
      <c r="CV157">
        <v>18000</v>
      </c>
      <c r="CX157">
        <v>2</v>
      </c>
      <c r="CY157">
        <v>22000</v>
      </c>
      <c r="DA157">
        <v>8</v>
      </c>
      <c r="DB157">
        <v>9000</v>
      </c>
      <c r="DD157">
        <v>7</v>
      </c>
      <c r="DE157">
        <v>9000</v>
      </c>
      <c r="DG157">
        <v>2</v>
      </c>
      <c r="DH157">
        <v>15000</v>
      </c>
      <c r="DJ157">
        <v>7</v>
      </c>
      <c r="DK157">
        <v>10000</v>
      </c>
      <c r="DM157">
        <v>10</v>
      </c>
      <c r="DN157">
        <v>5000</v>
      </c>
      <c r="DP157">
        <v>6</v>
      </c>
      <c r="DQ157">
        <v>11000</v>
      </c>
      <c r="DS157">
        <v>14</v>
      </c>
      <c r="DT157">
        <v>7000</v>
      </c>
      <c r="DV157">
        <v>8</v>
      </c>
      <c r="DW157">
        <v>16000</v>
      </c>
      <c r="DY157">
        <v>23</v>
      </c>
      <c r="DZ157">
        <v>21000</v>
      </c>
      <c r="EB157">
        <v>8</v>
      </c>
      <c r="EC157">
        <v>7000</v>
      </c>
      <c r="EE157">
        <v>5</v>
      </c>
      <c r="EF157">
        <v>10000</v>
      </c>
      <c r="EH157">
        <v>10</v>
      </c>
      <c r="EI157">
        <v>11000</v>
      </c>
      <c r="EK157">
        <v>9</v>
      </c>
      <c r="EL157">
        <v>5000</v>
      </c>
      <c r="EP157" t="str">
        <v>kosong</v>
      </c>
      <c r="EQ157">
        <v>5</v>
      </c>
      <c r="ES157" t="str">
        <v>kosong</v>
      </c>
    </row>
    <row r="158">
      <c r="A158">
        <v>189</v>
      </c>
      <c r="B158" s="1">
        <v>44827</v>
      </c>
      <c r="C158" t="str">
        <v>0920220009</v>
      </c>
      <c r="D158" t="str">
        <v>Mutiara Gani/Tajmahal Baby Shop</v>
      </c>
      <c r="E158">
        <v>807</v>
      </c>
      <c r="F158" t="str">
        <v>Jl Raya Taman Pagelaran</v>
      </c>
      <c r="G158" t="str">
        <v>Padasuka</v>
      </c>
      <c r="H158" t="str">
        <v>Ciomas</v>
      </c>
      <c r="I158" t="str">
        <v>Kab.Bogor</v>
      </c>
      <c r="J158" t="str">
        <v>Jawa Barat</v>
      </c>
      <c r="K158">
        <v>81809991307</v>
      </c>
      <c r="L158" t="str">
        <v>Publik</v>
      </c>
      <c r="M158" t="str">
        <v>Dian j</v>
      </c>
      <c r="N158" t="str">
        <v>non aktif</v>
      </c>
      <c r="AG158">
        <v>19</v>
      </c>
      <c r="AH158">
        <v>28000</v>
      </c>
      <c r="AJ158">
        <v>21</v>
      </c>
      <c r="AK158">
        <v>17000</v>
      </c>
      <c r="AM158">
        <v>19</v>
      </c>
      <c r="AN158">
        <v>36000</v>
      </c>
      <c r="AP158">
        <v>17</v>
      </c>
      <c r="AQ158">
        <v>40000</v>
      </c>
      <c r="AS158">
        <v>14</v>
      </c>
      <c r="AT158">
        <v>25000</v>
      </c>
      <c r="AV158">
        <v>15</v>
      </c>
      <c r="AW158">
        <v>40000</v>
      </c>
      <c r="AY158">
        <v>10</v>
      </c>
      <c r="AZ158">
        <v>65000</v>
      </c>
      <c r="BB158">
        <v>17</v>
      </c>
      <c r="BC158">
        <v>40000</v>
      </c>
      <c r="BE158">
        <v>13</v>
      </c>
      <c r="BF158">
        <v>25000</v>
      </c>
      <c r="BH158">
        <v>17</v>
      </c>
      <c r="BI158">
        <v>22000</v>
      </c>
      <c r="BK158">
        <v>16</v>
      </c>
      <c r="BL158">
        <v>15000</v>
      </c>
      <c r="BN158">
        <v>15</v>
      </c>
      <c r="BO158">
        <v>35000</v>
      </c>
      <c r="BQ158">
        <v>12</v>
      </c>
      <c r="BR158">
        <v>30000</v>
      </c>
      <c r="BT158">
        <v>23</v>
      </c>
      <c r="BV158" t="str">
        <v>kosong</v>
      </c>
      <c r="BW158">
        <v>11</v>
      </c>
      <c r="BX158">
        <v>20000</v>
      </c>
      <c r="BZ158">
        <v>10</v>
      </c>
      <c r="CB158" t="str">
        <v>kosong</v>
      </c>
      <c r="CC158">
        <v>13</v>
      </c>
      <c r="CD158">
        <v>5000</v>
      </c>
      <c r="CN158" t="str">
        <v>kosong</v>
      </c>
      <c r="CO158">
        <v>3</v>
      </c>
      <c r="CP158">
        <v>5000</v>
      </c>
      <c r="CT158" t="str">
        <v>kosong</v>
      </c>
      <c r="CW158" t="str">
        <v>kosong</v>
      </c>
      <c r="DC158" t="str">
        <v>kosong</v>
      </c>
    </row>
    <row r="159">
      <c r="A159">
        <v>101</v>
      </c>
      <c r="B159" s="1">
        <v>44827</v>
      </c>
      <c r="C159" t="str">
        <v>0920220010</v>
      </c>
      <c r="D159" t="str">
        <v>Taj Mahal Perabot (sebelah Mutiara)</v>
      </c>
      <c r="F159" t="str">
        <v xml:space="preserve">Jl.Raya Taman Pagelaran </v>
      </c>
      <c r="G159" t="str">
        <v>Padasuka</v>
      </c>
      <c r="H159" t="str">
        <v>Ciomas</v>
      </c>
      <c r="I159" t="str">
        <v>Kab.Bogor</v>
      </c>
      <c r="J159" t="str">
        <v>Jawa Barat</v>
      </c>
      <c r="K159">
        <v>81809991307</v>
      </c>
      <c r="L159" t="str">
        <v>Publik</v>
      </c>
      <c r="M159" t="str">
        <v>Dian J</v>
      </c>
      <c r="N159" t="str">
        <v>non aktif</v>
      </c>
      <c r="AG159">
        <v>19</v>
      </c>
      <c r="AI159" t="str">
        <v>kotak kosong</v>
      </c>
      <c r="AJ159">
        <v>21</v>
      </c>
      <c r="AK159">
        <v>12500</v>
      </c>
      <c r="AM159">
        <v>19</v>
      </c>
      <c r="AN159">
        <v>5000</v>
      </c>
      <c r="AP159">
        <v>23</v>
      </c>
      <c r="AR159" t="str">
        <v>kosong</v>
      </c>
      <c r="AS159">
        <v>14</v>
      </c>
      <c r="AT159">
        <v>13500</v>
      </c>
      <c r="AV159">
        <v>22</v>
      </c>
      <c r="AX159" t="str">
        <v>kosong</v>
      </c>
      <c r="AY159">
        <v>12</v>
      </c>
      <c r="BA159" t="str">
        <v>kosong</v>
      </c>
      <c r="BB159">
        <v>26</v>
      </c>
      <c r="BD159" t="str">
        <v>kosong</v>
      </c>
      <c r="BE159">
        <v>16</v>
      </c>
      <c r="BG159" t="str">
        <v>kosong</v>
      </c>
      <c r="BH159">
        <v>17</v>
      </c>
      <c r="BJ159" t="str">
        <v>kosong</v>
      </c>
      <c r="BK159">
        <v>16</v>
      </c>
      <c r="BM159" t="str">
        <v>kosong</v>
      </c>
      <c r="BN159">
        <v>15</v>
      </c>
      <c r="BP159" t="str">
        <v>kosong</v>
      </c>
      <c r="BQ159">
        <v>12</v>
      </c>
      <c r="BS159" t="str">
        <v>kosong</v>
      </c>
      <c r="BT159">
        <v>13</v>
      </c>
      <c r="BU159">
        <v>25500</v>
      </c>
      <c r="BW159">
        <v>21</v>
      </c>
      <c r="BY159" t="str">
        <v>kosong</v>
      </c>
      <c r="BZ159">
        <v>10</v>
      </c>
      <c r="CA159">
        <v>6500</v>
      </c>
      <c r="CC159">
        <v>10</v>
      </c>
      <c r="CE159" t="str">
        <v>kosong</v>
      </c>
      <c r="CL159">
        <v>3</v>
      </c>
      <c r="CM159">
        <v>63000</v>
      </c>
      <c r="CQ159" t="str">
        <v>kosong</v>
      </c>
      <c r="CT159" t="str">
        <v>kosong</v>
      </c>
      <c r="CW159" t="str">
        <v>kosong</v>
      </c>
      <c r="CX159">
        <v>2</v>
      </c>
      <c r="CY159">
        <v>4000</v>
      </c>
      <c r="DA159">
        <v>8</v>
      </c>
      <c r="DB159">
        <v>5500</v>
      </c>
      <c r="DG159">
        <v>11</v>
      </c>
      <c r="DI159" t="str">
        <v>kosong</v>
      </c>
      <c r="DJ159">
        <v>7</v>
      </c>
      <c r="DL159" t="str">
        <v>kosong</v>
      </c>
      <c r="DM159">
        <v>12</v>
      </c>
      <c r="DO159" t="str">
        <v>kosong</v>
      </c>
      <c r="DP159">
        <v>7</v>
      </c>
      <c r="DR159" t="str">
        <v>kosong</v>
      </c>
      <c r="DS159">
        <v>10</v>
      </c>
      <c r="DU159" t="str">
        <v>kosong</v>
      </c>
    </row>
    <row r="160">
      <c r="A160">
        <v>81</v>
      </c>
      <c r="B160" s="1">
        <v>44830</v>
      </c>
      <c r="C160" t="str">
        <v>0920220011</v>
      </c>
      <c r="D160" t="str">
        <v>RM Ajo / Uni Ira/ rm lingkar raya</v>
      </c>
      <c r="E160">
        <v>803</v>
      </c>
      <c r="F160" t="str">
        <v>Jl Raya Taman Pagelaran</v>
      </c>
      <c r="G160" t="str">
        <v>Padasuka</v>
      </c>
      <c r="H160" t="str">
        <v>Ciomas</v>
      </c>
      <c r="I160" t="str">
        <v>Kab.Bogor</v>
      </c>
      <c r="J160" t="str">
        <v>Jawa Barat</v>
      </c>
      <c r="K160">
        <v>895392985966</v>
      </c>
      <c r="L160" t="str">
        <v>Publik</v>
      </c>
      <c r="M160" t="str">
        <v>Dian J</v>
      </c>
      <c r="N160" t="str">
        <v>aktif</v>
      </c>
      <c r="AG160">
        <v>24</v>
      </c>
      <c r="AH160">
        <v>11000</v>
      </c>
      <c r="AJ160">
        <v>21</v>
      </c>
      <c r="AL160" t="str">
        <v>kotak kosong</v>
      </c>
      <c r="AM160">
        <v>19</v>
      </c>
      <c r="AN160">
        <v>10000</v>
      </c>
      <c r="AP160">
        <v>23</v>
      </c>
      <c r="AR160" t="str">
        <v>kosong</v>
      </c>
      <c r="AS160">
        <v>14</v>
      </c>
      <c r="AT160">
        <v>4000</v>
      </c>
      <c r="AV160">
        <v>15</v>
      </c>
      <c r="AW160">
        <v>6000</v>
      </c>
      <c r="AY160">
        <v>12</v>
      </c>
      <c r="BA160" t="str">
        <v>kosong</v>
      </c>
      <c r="BB160">
        <v>17</v>
      </c>
      <c r="BC160">
        <v>8000</v>
      </c>
      <c r="BE160">
        <v>13</v>
      </c>
      <c r="BF160">
        <v>8000</v>
      </c>
      <c r="BH160">
        <v>17</v>
      </c>
      <c r="BI160">
        <v>10000</v>
      </c>
      <c r="BK160">
        <v>16</v>
      </c>
      <c r="BM160" t="str">
        <v>kosong</v>
      </c>
      <c r="BN160">
        <v>15</v>
      </c>
      <c r="BO160">
        <v>12500</v>
      </c>
      <c r="BQ160">
        <v>12</v>
      </c>
      <c r="BR160">
        <v>8000</v>
      </c>
      <c r="BT160">
        <v>13</v>
      </c>
      <c r="BU160">
        <v>8000</v>
      </c>
      <c r="BW160">
        <v>11</v>
      </c>
      <c r="BX160">
        <v>6500</v>
      </c>
      <c r="BZ160">
        <v>10</v>
      </c>
      <c r="CA160">
        <v>4000</v>
      </c>
      <c r="CC160">
        <v>13</v>
      </c>
      <c r="CD160">
        <v>6000</v>
      </c>
      <c r="CF160">
        <v>12</v>
      </c>
      <c r="CG160">
        <v>10000</v>
      </c>
      <c r="CI160">
        <v>2</v>
      </c>
      <c r="CJ160">
        <v>13500</v>
      </c>
      <c r="CL160">
        <v>3</v>
      </c>
      <c r="CM160">
        <v>14000</v>
      </c>
      <c r="CO160">
        <v>4</v>
      </c>
      <c r="CP160">
        <v>17000</v>
      </c>
      <c r="CR160">
        <v>3</v>
      </c>
      <c r="CS160">
        <v>12000</v>
      </c>
      <c r="CU160">
        <v>2</v>
      </c>
      <c r="CV160">
        <v>2000</v>
      </c>
      <c r="CX160">
        <v>2</v>
      </c>
      <c r="CY160">
        <v>6000</v>
      </c>
      <c r="DA160">
        <v>8</v>
      </c>
      <c r="DB160">
        <v>5000</v>
      </c>
      <c r="DG160">
        <v>2</v>
      </c>
      <c r="DH160">
        <v>6000</v>
      </c>
      <c r="DJ160">
        <v>11</v>
      </c>
      <c r="DL160" t="str">
        <v>kosong</v>
      </c>
      <c r="DY160">
        <v>25</v>
      </c>
      <c r="DZ160">
        <v>17000</v>
      </c>
      <c r="EB160">
        <v>25</v>
      </c>
      <c r="EC160">
        <v>4000</v>
      </c>
      <c r="EN160">
        <v>21</v>
      </c>
      <c r="EO160">
        <v>34000</v>
      </c>
      <c r="EP160" t="str">
        <v>penempatan</v>
      </c>
      <c r="EQ160">
        <v>5</v>
      </c>
      <c r="ER160">
        <v>22000</v>
      </c>
    </row>
    <row r="161">
      <c r="A161">
        <v>82</v>
      </c>
      <c r="B161" s="1">
        <v>44830</v>
      </c>
      <c r="C161" t="str">
        <v>0920220012</v>
      </c>
      <c r="D161" t="str">
        <v>Tedi (poto copy) copy centre</v>
      </c>
      <c r="E161">
        <v>812</v>
      </c>
      <c r="F161" t="str">
        <v>Jl Taman Pagelaran Blok FF 1 No.14</v>
      </c>
      <c r="G161" t="str">
        <v>Padasuka</v>
      </c>
      <c r="H161" t="str">
        <v>Ciomas</v>
      </c>
      <c r="I161" t="str">
        <v>Kab.Bogor</v>
      </c>
      <c r="J161" t="str">
        <v>Jawa Barat</v>
      </c>
      <c r="K161">
        <v>81288331993</v>
      </c>
      <c r="L161" t="str">
        <v>Home</v>
      </c>
      <c r="M161" t="str">
        <v>Dian J</v>
      </c>
      <c r="N161" t="str">
        <v>aktif</v>
      </c>
      <c r="AG161">
        <v>24</v>
      </c>
      <c r="AI161" t="str">
        <v>kotak kosong</v>
      </c>
      <c r="AJ161">
        <v>22</v>
      </c>
      <c r="AK161">
        <v>31000</v>
      </c>
      <c r="AM161">
        <v>19</v>
      </c>
      <c r="AN161">
        <v>17500</v>
      </c>
      <c r="AP161">
        <v>17</v>
      </c>
      <c r="AQ161">
        <v>12000</v>
      </c>
      <c r="AS161">
        <v>14</v>
      </c>
      <c r="AT161">
        <v>26000</v>
      </c>
      <c r="AV161">
        <v>15</v>
      </c>
      <c r="AW161">
        <v>23000</v>
      </c>
      <c r="AY161">
        <v>10</v>
      </c>
      <c r="AZ161">
        <v>7000</v>
      </c>
      <c r="BB161">
        <v>17</v>
      </c>
      <c r="BC161">
        <v>13000</v>
      </c>
      <c r="BE161">
        <v>21</v>
      </c>
      <c r="BF161">
        <v>4000</v>
      </c>
      <c r="BK161">
        <v>16</v>
      </c>
      <c r="BL161">
        <v>45000</v>
      </c>
      <c r="BN161">
        <v>15</v>
      </c>
      <c r="BO161">
        <v>18500</v>
      </c>
      <c r="BQ161">
        <v>12</v>
      </c>
      <c r="BR161">
        <v>24500</v>
      </c>
      <c r="BT161">
        <v>13</v>
      </c>
      <c r="BU161">
        <v>25500</v>
      </c>
      <c r="BW161">
        <v>11</v>
      </c>
      <c r="BX161">
        <v>22000</v>
      </c>
      <c r="BZ161">
        <v>10</v>
      </c>
      <c r="CA161">
        <v>58500</v>
      </c>
      <c r="CC161">
        <v>13</v>
      </c>
      <c r="CD161">
        <v>35000</v>
      </c>
      <c r="CF161">
        <v>12</v>
      </c>
      <c r="CG161">
        <v>23000</v>
      </c>
      <c r="CI161">
        <v>2</v>
      </c>
      <c r="CJ161">
        <v>16000</v>
      </c>
      <c r="CL161">
        <v>3</v>
      </c>
      <c r="CM161">
        <v>14000</v>
      </c>
      <c r="CO161">
        <v>4</v>
      </c>
      <c r="CP161">
        <v>31000</v>
      </c>
      <c r="CR161">
        <v>3</v>
      </c>
      <c r="CS161">
        <v>22000</v>
      </c>
      <c r="CU161">
        <v>2</v>
      </c>
      <c r="CV161">
        <v>10000</v>
      </c>
      <c r="CX161">
        <v>2</v>
      </c>
      <c r="CY161">
        <v>13000</v>
      </c>
      <c r="DA161">
        <v>8</v>
      </c>
      <c r="DB161">
        <v>22000</v>
      </c>
      <c r="DD161">
        <v>7</v>
      </c>
      <c r="DE161">
        <v>15000</v>
      </c>
      <c r="DG161">
        <v>2</v>
      </c>
      <c r="DH161">
        <v>21000</v>
      </c>
      <c r="DJ161">
        <v>7</v>
      </c>
      <c r="DK161">
        <v>15000</v>
      </c>
      <c r="DM161">
        <v>6</v>
      </c>
      <c r="DN161">
        <v>30000</v>
      </c>
      <c r="DP161">
        <v>6</v>
      </c>
      <c r="DQ161">
        <v>36000</v>
      </c>
      <c r="DS161">
        <v>11</v>
      </c>
      <c r="DT161">
        <v>44000</v>
      </c>
      <c r="DV161">
        <v>8</v>
      </c>
      <c r="DW161">
        <v>12000</v>
      </c>
      <c r="DY161">
        <v>5</v>
      </c>
      <c r="DZ161">
        <v>18000</v>
      </c>
      <c r="EB161">
        <v>7</v>
      </c>
      <c r="EC161">
        <v>23000</v>
      </c>
      <c r="EE161">
        <v>6</v>
      </c>
      <c r="EF161">
        <v>13000</v>
      </c>
      <c r="EH161">
        <v>10</v>
      </c>
      <c r="EI161">
        <v>25000</v>
      </c>
      <c r="EK161">
        <v>7</v>
      </c>
      <c r="EL161">
        <v>10000</v>
      </c>
      <c r="EN161">
        <v>11</v>
      </c>
      <c r="EO161">
        <v>27000</v>
      </c>
      <c r="EQ161">
        <v>5</v>
      </c>
      <c r="ER161">
        <v>13500</v>
      </c>
    </row>
    <row r="162">
      <c r="A162">
        <v>83</v>
      </c>
      <c r="B162" s="1">
        <v>44830</v>
      </c>
      <c r="C162" t="str">
        <v>0920220013</v>
      </c>
      <c r="D162" t="str">
        <v>Aexon Foto copy 33</v>
      </c>
      <c r="E162">
        <v>805</v>
      </c>
      <c r="F162" t="str">
        <v>JL.Taman Pagelaran Blok TJ No.33</v>
      </c>
      <c r="G162" t="str">
        <v>Padasuka</v>
      </c>
      <c r="H162" t="str">
        <v>Ciomas</v>
      </c>
      <c r="I162" t="str">
        <v>Kab.Bogor</v>
      </c>
      <c r="J162" t="str">
        <v>Jawa Barat</v>
      </c>
      <c r="L162" t="str">
        <v>Home</v>
      </c>
      <c r="M162" t="str">
        <v>Dian J</v>
      </c>
      <c r="N162" t="str">
        <v>non aktif</v>
      </c>
      <c r="AJ162">
        <v>22</v>
      </c>
      <c r="AK162">
        <v>5500</v>
      </c>
      <c r="AM162">
        <v>20</v>
      </c>
      <c r="AN162">
        <v>21500</v>
      </c>
      <c r="AP162">
        <v>17</v>
      </c>
      <c r="AQ162">
        <v>13000</v>
      </c>
      <c r="AS162">
        <v>14</v>
      </c>
      <c r="AT162">
        <v>20000</v>
      </c>
      <c r="AV162">
        <v>15</v>
      </c>
      <c r="AW162">
        <v>15000</v>
      </c>
      <c r="AY162">
        <v>10</v>
      </c>
      <c r="AZ162">
        <v>10000</v>
      </c>
      <c r="BB162">
        <v>17</v>
      </c>
      <c r="BC162">
        <v>40000</v>
      </c>
      <c r="BE162">
        <v>13</v>
      </c>
      <c r="BF162">
        <v>4000</v>
      </c>
      <c r="BH162">
        <v>17</v>
      </c>
      <c r="BI162">
        <v>13000</v>
      </c>
      <c r="BK162">
        <v>16</v>
      </c>
      <c r="BL162">
        <v>16500</v>
      </c>
      <c r="BN162">
        <v>15</v>
      </c>
      <c r="BO162">
        <v>3000</v>
      </c>
      <c r="BQ162">
        <v>12</v>
      </c>
      <c r="BS162" t="str">
        <v>kosong</v>
      </c>
      <c r="BT162">
        <v>13</v>
      </c>
      <c r="BU162">
        <v>6000</v>
      </c>
      <c r="BW162">
        <v>11</v>
      </c>
      <c r="BX162">
        <v>8000</v>
      </c>
      <c r="BZ162">
        <v>10</v>
      </c>
      <c r="CA162">
        <v>10500</v>
      </c>
      <c r="CC162">
        <v>13</v>
      </c>
      <c r="CD162">
        <v>6000</v>
      </c>
      <c r="CF162">
        <v>12</v>
      </c>
      <c r="CG162">
        <v>20000</v>
      </c>
      <c r="CN162" t="str">
        <v>kosong</v>
      </c>
      <c r="CO162">
        <v>3</v>
      </c>
      <c r="CP162">
        <v>4000</v>
      </c>
      <c r="CT162" t="str">
        <v>kosong</v>
      </c>
      <c r="CX162">
        <v>2</v>
      </c>
      <c r="CY162">
        <v>13000</v>
      </c>
      <c r="DC162" t="str">
        <v>kosong</v>
      </c>
      <c r="DG162">
        <v>11</v>
      </c>
      <c r="DI162" t="str">
        <v>kosonh</v>
      </c>
      <c r="DJ162">
        <v>11</v>
      </c>
      <c r="DL162" t="str">
        <v>kosong</v>
      </c>
      <c r="DM162">
        <v>10</v>
      </c>
      <c r="DN162">
        <v>16000</v>
      </c>
      <c r="DP162">
        <v>11</v>
      </c>
      <c r="DQ162">
        <v>11000</v>
      </c>
      <c r="DS162">
        <v>23</v>
      </c>
      <c r="DT162">
        <v>4000</v>
      </c>
      <c r="DY162">
        <v>20</v>
      </c>
      <c r="DZ162">
        <v>5000</v>
      </c>
      <c r="EB162">
        <v>14</v>
      </c>
      <c r="EC162">
        <v>11000</v>
      </c>
      <c r="EE162">
        <v>6</v>
      </c>
      <c r="EG162" t="str">
        <v>kosong</v>
      </c>
      <c r="EH162">
        <v>10</v>
      </c>
      <c r="EI162">
        <v>3500</v>
      </c>
      <c r="EK162">
        <v>8</v>
      </c>
      <c r="EM162" t="str">
        <v>kosong-ditarik</v>
      </c>
    </row>
    <row r="163">
      <c r="A163">
        <v>84</v>
      </c>
      <c r="B163" s="1">
        <v>44875</v>
      </c>
      <c r="C163" t="str">
        <v>0920220093</v>
      </c>
      <c r="D163" t="str">
        <v>Toko perlengkapan Bayi Favorit (ibu Andi)</v>
      </c>
      <c r="F163" t="str">
        <v>Jl. RE Abdullah No. 10</v>
      </c>
      <c r="G163" t="str">
        <v>Pasir Jaya</v>
      </c>
      <c r="H163" t="str">
        <v>Bogor Barat</v>
      </c>
      <c r="I163" t="str">
        <v>Kota Bogor</v>
      </c>
      <c r="J163" t="str">
        <v>Jawa Barat</v>
      </c>
      <c r="K163">
        <v>0</v>
      </c>
      <c r="L163" t="str">
        <v>Publk</v>
      </c>
      <c r="M163" t="str">
        <v>Dian J</v>
      </c>
      <c r="N163" t="str">
        <v>aktif</v>
      </c>
      <c r="AM163">
        <v>16</v>
      </c>
      <c r="AN163">
        <v>12000</v>
      </c>
      <c r="AP163">
        <v>23</v>
      </c>
      <c r="AQ163">
        <v>30000</v>
      </c>
      <c r="AS163">
        <v>20</v>
      </c>
      <c r="AT163">
        <v>45000</v>
      </c>
      <c r="AV163">
        <v>21</v>
      </c>
      <c r="AW163">
        <v>30000</v>
      </c>
      <c r="AY163">
        <v>18</v>
      </c>
      <c r="AZ163">
        <v>40000</v>
      </c>
      <c r="BB163">
        <v>25</v>
      </c>
      <c r="BC163">
        <v>29000</v>
      </c>
      <c r="BE163">
        <v>30</v>
      </c>
      <c r="BF163">
        <v>20000</v>
      </c>
      <c r="BH163">
        <v>24</v>
      </c>
      <c r="BI163">
        <v>17000</v>
      </c>
      <c r="BK163">
        <v>24</v>
      </c>
      <c r="BL163">
        <v>13000</v>
      </c>
      <c r="BN163">
        <v>21</v>
      </c>
      <c r="BO163">
        <v>10000</v>
      </c>
      <c r="BQ163">
        <v>23</v>
      </c>
      <c r="BR163">
        <v>39000</v>
      </c>
      <c r="BT163">
        <v>21</v>
      </c>
      <c r="BU163">
        <v>19000</v>
      </c>
      <c r="BW163">
        <v>20</v>
      </c>
      <c r="BX163">
        <v>28000</v>
      </c>
      <c r="BZ163">
        <v>16</v>
      </c>
      <c r="CA163">
        <v>32000</v>
      </c>
      <c r="CC163">
        <v>22</v>
      </c>
      <c r="CD163">
        <v>30000</v>
      </c>
      <c r="CF163">
        <v>18</v>
      </c>
      <c r="CG163">
        <v>35000</v>
      </c>
      <c r="CI163">
        <v>19</v>
      </c>
      <c r="CJ163">
        <v>30000</v>
      </c>
      <c r="CL163">
        <v>16</v>
      </c>
      <c r="CM163">
        <v>7000</v>
      </c>
      <c r="CO163">
        <v>11</v>
      </c>
      <c r="CP163">
        <v>26000</v>
      </c>
      <c r="CR163">
        <v>16</v>
      </c>
      <c r="CS163">
        <v>28000</v>
      </c>
      <c r="CU163">
        <v>19</v>
      </c>
      <c r="CV163">
        <v>45000</v>
      </c>
      <c r="CX163">
        <v>13</v>
      </c>
      <c r="CY163">
        <v>25000</v>
      </c>
      <c r="DA163">
        <v>14</v>
      </c>
      <c r="DB163">
        <v>15000</v>
      </c>
      <c r="DD163">
        <v>13</v>
      </c>
      <c r="DE163">
        <v>25000</v>
      </c>
      <c r="DG163">
        <v>11</v>
      </c>
      <c r="DH163">
        <v>40000</v>
      </c>
      <c r="DJ163">
        <v>10</v>
      </c>
      <c r="DK163">
        <v>25000</v>
      </c>
      <c r="DM163">
        <v>10</v>
      </c>
      <c r="DN163">
        <v>20000</v>
      </c>
      <c r="DP163">
        <v>11</v>
      </c>
      <c r="DR163" t="str">
        <v>kosong</v>
      </c>
      <c r="DS163">
        <v>18</v>
      </c>
      <c r="DT163">
        <v>10000</v>
      </c>
      <c r="DV163">
        <v>9</v>
      </c>
      <c r="DW163">
        <v>55000</v>
      </c>
      <c r="DY163">
        <v>10</v>
      </c>
      <c r="DZ163">
        <v>85500</v>
      </c>
      <c r="EB163">
        <v>9</v>
      </c>
      <c r="EC163">
        <v>60000</v>
      </c>
      <c r="EE163">
        <v>8</v>
      </c>
      <c r="EF163">
        <v>62000</v>
      </c>
      <c r="EH163">
        <v>9</v>
      </c>
      <c r="EI163">
        <v>65000</v>
      </c>
      <c r="EK163">
        <v>7</v>
      </c>
      <c r="EL163">
        <v>45000</v>
      </c>
      <c r="EN163">
        <v>6</v>
      </c>
      <c r="EO163">
        <v>21000</v>
      </c>
      <c r="EQ163">
        <v>8</v>
      </c>
      <c r="ER163">
        <v>30000</v>
      </c>
    </row>
    <row r="164">
      <c r="A164">
        <v>195</v>
      </c>
      <c r="B164" s="1">
        <v>44875</v>
      </c>
      <c r="C164" t="str">
        <v>0920220094</v>
      </c>
      <c r="D164" t="str">
        <v>Bakso Gunung Kidul</v>
      </c>
      <c r="F164" t="str">
        <v>Jl. KH. M Palak / Darul Quran No.1</v>
      </c>
      <c r="G164" t="str">
        <v>Loji</v>
      </c>
      <c r="H164" t="str">
        <v>Bogor Barat</v>
      </c>
      <c r="I164" t="str">
        <v>Kota Bogor</v>
      </c>
      <c r="J164" t="str">
        <v>Jawa Barat</v>
      </c>
      <c r="K164">
        <v>0</v>
      </c>
      <c r="L164" t="str">
        <v>Publk</v>
      </c>
      <c r="M164" t="str">
        <v>Dian J</v>
      </c>
      <c r="N164" t="str">
        <v>non aktif</v>
      </c>
      <c r="AM164">
        <v>27</v>
      </c>
      <c r="AO164" t="str">
        <v>tutup</v>
      </c>
      <c r="AP164">
        <v>23</v>
      </c>
      <c r="AQ164">
        <v>15000</v>
      </c>
      <c r="AV164">
        <v>16</v>
      </c>
      <c r="AW164">
        <v>10500</v>
      </c>
      <c r="BB164">
        <v>31</v>
      </c>
      <c r="BC164">
        <v>15000</v>
      </c>
      <c r="BH164">
        <v>31</v>
      </c>
      <c r="BI164">
        <v>4500</v>
      </c>
      <c r="BK164">
        <v>29</v>
      </c>
      <c r="BL164">
        <v>5000</v>
      </c>
      <c r="BN164">
        <v>28</v>
      </c>
      <c r="BP164" t="str">
        <v>kosong</v>
      </c>
      <c r="BQ164">
        <v>27</v>
      </c>
      <c r="BS164" t="str">
        <v>kosong</v>
      </c>
      <c r="BZ164">
        <v>19</v>
      </c>
      <c r="CB164" t="str">
        <v>kosong</v>
      </c>
      <c r="CI164">
        <v>30</v>
      </c>
      <c r="CJ164">
        <v>2000</v>
      </c>
      <c r="CL164">
        <v>7</v>
      </c>
      <c r="CM164">
        <v>2000</v>
      </c>
      <c r="CQ164" t="str">
        <v>kosong</v>
      </c>
      <c r="CT164" t="str">
        <v>kosong</v>
      </c>
    </row>
    <row r="165">
      <c r="A165">
        <v>196</v>
      </c>
      <c r="B165" s="1">
        <v>44874</v>
      </c>
      <c r="C165" t="str">
        <v>0920220089</v>
      </c>
      <c r="D165" t="str">
        <v>Toko Maila / Foto Copy Maila</v>
      </c>
      <c r="F165" t="str">
        <v>Jl. Poras (depan sekolah pesat)</v>
      </c>
      <c r="G165" t="str">
        <v>Loji</v>
      </c>
      <c r="H165" t="str">
        <v>Bogor Barat</v>
      </c>
      <c r="I165" t="str">
        <v>Kota Bogor</v>
      </c>
      <c r="J165" t="str">
        <v>Jawa Barat</v>
      </c>
      <c r="K165">
        <v>0</v>
      </c>
      <c r="L165" t="str">
        <v>Publk</v>
      </c>
      <c r="M165" t="str">
        <v>Dian J</v>
      </c>
      <c r="N165" t="str">
        <v>non aktif</v>
      </c>
      <c r="AM165">
        <v>16</v>
      </c>
      <c r="AN165">
        <v>5500</v>
      </c>
      <c r="AP165">
        <v>16</v>
      </c>
      <c r="AQ165">
        <v>7000</v>
      </c>
      <c r="AS165">
        <v>20</v>
      </c>
      <c r="AT165">
        <v>12500</v>
      </c>
      <c r="AV165">
        <v>30</v>
      </c>
      <c r="AW165">
        <v>6500</v>
      </c>
      <c r="BH165">
        <v>28</v>
      </c>
      <c r="BI165">
        <v>3500</v>
      </c>
      <c r="BK165">
        <v>28</v>
      </c>
      <c r="BL165">
        <v>3500</v>
      </c>
      <c r="BN165">
        <v>28</v>
      </c>
      <c r="BP165" t="str">
        <v>kosong</v>
      </c>
      <c r="BQ165">
        <v>27</v>
      </c>
      <c r="BR165">
        <v>4500</v>
      </c>
      <c r="CN165" t="str">
        <v>kosong</v>
      </c>
      <c r="CQ165" t="str">
        <v>tutup</v>
      </c>
      <c r="CT165" t="str">
        <v xml:space="preserve">tutup terus </v>
      </c>
    </row>
    <row r="166">
      <c r="A166">
        <v>85</v>
      </c>
      <c r="B166" s="1">
        <v>44874</v>
      </c>
      <c r="C166" t="str">
        <v>0920220090</v>
      </c>
      <c r="D166" t="str">
        <v>Warung Soto Umi Yani</v>
      </c>
      <c r="F166" t="str">
        <v>Jl. Harmonis (depan masjid Jami Al Muslihin)</v>
      </c>
      <c r="G166" t="str">
        <v>Loji</v>
      </c>
      <c r="H166" t="str">
        <v>Bogor Barat</v>
      </c>
      <c r="I166" t="str">
        <v>Kota Bogor</v>
      </c>
      <c r="J166" t="str">
        <v>Jawa Barat</v>
      </c>
      <c r="K166">
        <v>0</v>
      </c>
      <c r="L166" t="str">
        <v>Publk</v>
      </c>
      <c r="M166" t="str">
        <v>Dian J</v>
      </c>
      <c r="N166" t="str">
        <v>aktif</v>
      </c>
      <c r="AM166">
        <v>16</v>
      </c>
      <c r="AN166">
        <v>5500</v>
      </c>
      <c r="AP166">
        <v>16</v>
      </c>
      <c r="AQ166">
        <v>4000</v>
      </c>
      <c r="AS166">
        <v>20</v>
      </c>
      <c r="AT166">
        <v>5000</v>
      </c>
      <c r="AV166">
        <v>28</v>
      </c>
      <c r="AX166" t="str">
        <v>kosong</v>
      </c>
      <c r="AY166">
        <v>22</v>
      </c>
      <c r="AZ166">
        <v>10000</v>
      </c>
      <c r="BH166">
        <v>28</v>
      </c>
      <c r="BI166">
        <v>29000</v>
      </c>
      <c r="BK166">
        <v>29</v>
      </c>
      <c r="BL166">
        <v>38500</v>
      </c>
      <c r="BN166">
        <v>27</v>
      </c>
      <c r="BO166">
        <v>10500</v>
      </c>
      <c r="BQ166">
        <v>27</v>
      </c>
      <c r="BR166">
        <v>17000</v>
      </c>
      <c r="BT166">
        <v>28</v>
      </c>
      <c r="BU166">
        <v>18000</v>
      </c>
      <c r="BW166">
        <v>28</v>
      </c>
      <c r="BX166">
        <v>15000</v>
      </c>
      <c r="BZ166">
        <v>30</v>
      </c>
      <c r="CA166">
        <v>16500</v>
      </c>
      <c r="CC166">
        <v>22</v>
      </c>
      <c r="CD166">
        <v>10000</v>
      </c>
      <c r="CI166">
        <v>29</v>
      </c>
      <c r="CJ166">
        <v>14000</v>
      </c>
      <c r="CL166">
        <v>28</v>
      </c>
      <c r="CM166">
        <v>14000</v>
      </c>
      <c r="CO166">
        <v>26</v>
      </c>
      <c r="CP166">
        <v>10000</v>
      </c>
      <c r="CR166">
        <v>23</v>
      </c>
      <c r="CS166">
        <v>13000</v>
      </c>
      <c r="CU166" s="1">
        <v>45524</v>
      </c>
      <c r="CV166">
        <v>19000</v>
      </c>
      <c r="CX166" s="1">
        <v>45376</v>
      </c>
      <c r="CY166">
        <v>28000</v>
      </c>
      <c r="DA166">
        <v>25</v>
      </c>
      <c r="DB166">
        <v>21000</v>
      </c>
      <c r="DG166" t="str">
        <v>28    19</v>
      </c>
      <c r="DH166">
        <f>10000+11000</f>
        <v>21000</v>
      </c>
      <c r="DJ166">
        <v>17</v>
      </c>
      <c r="DK166">
        <v>17000</v>
      </c>
      <c r="DM166">
        <v>17</v>
      </c>
      <c r="DN166">
        <v>11000</v>
      </c>
      <c r="DR166" t="str">
        <v>kosong</v>
      </c>
      <c r="DS166">
        <v>22</v>
      </c>
      <c r="DT166">
        <v>10000</v>
      </c>
      <c r="DV166">
        <v>19</v>
      </c>
      <c r="DW166">
        <v>12000</v>
      </c>
      <c r="DY166">
        <v>23</v>
      </c>
      <c r="DZ166">
        <v>16000</v>
      </c>
      <c r="EB166">
        <v>15</v>
      </c>
      <c r="EC166">
        <v>14000</v>
      </c>
      <c r="EE166">
        <v>25</v>
      </c>
      <c r="EF166">
        <v>18000</v>
      </c>
      <c r="EH166">
        <v>18</v>
      </c>
      <c r="EI166">
        <v>12000</v>
      </c>
      <c r="EK166">
        <v>14</v>
      </c>
      <c r="EL166">
        <v>14000</v>
      </c>
      <c r="EN166">
        <v>12</v>
      </c>
      <c r="EO166">
        <v>5000</v>
      </c>
    </row>
    <row r="167">
      <c r="A167">
        <v>86</v>
      </c>
      <c r="B167" s="1">
        <v>44874</v>
      </c>
      <c r="C167" t="str">
        <v>0920220091</v>
      </c>
      <c r="D167" t="str">
        <v>Warung sembako Sri Rezeki</v>
      </c>
      <c r="F167" t="str">
        <v>Jl. Harmonis (samping masjid Jami Al Muslihin)</v>
      </c>
      <c r="G167" t="str">
        <v>Loji</v>
      </c>
      <c r="H167" t="str">
        <v>Bogor Barat</v>
      </c>
      <c r="I167" t="str">
        <v>Kota Bogor</v>
      </c>
      <c r="J167" t="str">
        <v>Jawa Barat</v>
      </c>
      <c r="K167">
        <v>0</v>
      </c>
      <c r="L167" t="str">
        <v>Publk</v>
      </c>
      <c r="M167" t="str">
        <v>Dian J</v>
      </c>
      <c r="N167" t="str">
        <v>aktif</v>
      </c>
      <c r="AM167">
        <v>27</v>
      </c>
      <c r="AO167" t="str">
        <v>kosong</v>
      </c>
      <c r="AP167">
        <v>16</v>
      </c>
      <c r="AR167" t="str">
        <v>kosong</v>
      </c>
      <c r="AS167">
        <v>21</v>
      </c>
      <c r="AU167" t="str">
        <v>kosong</v>
      </c>
      <c r="AV167">
        <v>30</v>
      </c>
      <c r="AW167">
        <v>17000</v>
      </c>
      <c r="BB167">
        <v>31</v>
      </c>
      <c r="BC167">
        <v>21500</v>
      </c>
      <c r="BH167">
        <v>28</v>
      </c>
      <c r="BI167">
        <v>18000</v>
      </c>
      <c r="BK167">
        <v>28</v>
      </c>
      <c r="BL167">
        <v>10500</v>
      </c>
      <c r="BN167">
        <v>28</v>
      </c>
      <c r="BO167">
        <v>54000</v>
      </c>
      <c r="BQ167">
        <v>27</v>
      </c>
      <c r="BR167">
        <v>9000</v>
      </c>
      <c r="BW167">
        <v>28</v>
      </c>
      <c r="BX167">
        <v>8000</v>
      </c>
      <c r="BZ167">
        <v>30</v>
      </c>
      <c r="CA167">
        <v>7000</v>
      </c>
      <c r="CC167">
        <v>23</v>
      </c>
      <c r="CE167" t="str">
        <v>kosong</v>
      </c>
      <c r="CF167">
        <v>18</v>
      </c>
      <c r="CG167">
        <v>5000</v>
      </c>
      <c r="CL167">
        <v>27</v>
      </c>
      <c r="CN167" t="str">
        <v>kosong</v>
      </c>
      <c r="CO167">
        <v>26</v>
      </c>
      <c r="CP167">
        <v>14000</v>
      </c>
      <c r="CU167">
        <v>20</v>
      </c>
      <c r="CV167">
        <v>2000</v>
      </c>
      <c r="CX167">
        <v>25</v>
      </c>
      <c r="CY167">
        <v>2000</v>
      </c>
      <c r="DA167">
        <v>25</v>
      </c>
      <c r="DB167">
        <v>17500</v>
      </c>
      <c r="DG167">
        <v>19</v>
      </c>
      <c r="DH167">
        <v>13500</v>
      </c>
      <c r="DJ167">
        <v>17</v>
      </c>
      <c r="DK167">
        <v>2000</v>
      </c>
      <c r="DM167">
        <v>17</v>
      </c>
      <c r="DN167">
        <v>10000</v>
      </c>
      <c r="DR167" t="str">
        <v>kosong</v>
      </c>
      <c r="DS167">
        <v>22</v>
      </c>
      <c r="DT167">
        <v>11000</v>
      </c>
      <c r="DV167">
        <v>19</v>
      </c>
      <c r="DW167">
        <v>9000</v>
      </c>
      <c r="DY167">
        <v>23</v>
      </c>
      <c r="EA167" t="str">
        <v>kosong</v>
      </c>
      <c r="EB167">
        <v>15</v>
      </c>
      <c r="EC167">
        <v>22000</v>
      </c>
      <c r="EE167">
        <v>14</v>
      </c>
      <c r="EF167">
        <v>16000</v>
      </c>
      <c r="EH167">
        <v>15</v>
      </c>
      <c r="EI167">
        <v>14000</v>
      </c>
      <c r="EK167">
        <v>14</v>
      </c>
      <c r="EL167">
        <v>25000</v>
      </c>
      <c r="EN167">
        <v>12</v>
      </c>
      <c r="EO167">
        <v>11000</v>
      </c>
    </row>
    <row r="168">
      <c r="A168">
        <v>87</v>
      </c>
      <c r="B168" s="1">
        <v>45663</v>
      </c>
      <c r="C168" t="str">
        <v>0920220124</v>
      </c>
      <c r="D168" t="str">
        <v>Pop Mie 10.12 / Wr. Madura Putri Hasanah Jaya</v>
      </c>
      <c r="F168" t="str">
        <v>Jl. Gunung Batu Raya seberang dapur Assalam</v>
      </c>
      <c r="G168" t="str">
        <v>Gunung Batu</v>
      </c>
      <c r="H168" t="str">
        <v>Bogor Barat</v>
      </c>
      <c r="I168" t="str">
        <v>Kota Bogor</v>
      </c>
      <c r="J168" t="str">
        <v>Jawa Barat</v>
      </c>
      <c r="K168" t="str">
        <v>0877 92899494</v>
      </c>
      <c r="L168" t="str">
        <v>publik</v>
      </c>
      <c r="M168" t="str">
        <v>Dian J</v>
      </c>
      <c r="N168" t="str">
        <v>aktif</v>
      </c>
      <c r="AS168">
        <v>27</v>
      </c>
      <c r="AU168" t="str">
        <v>kosong</v>
      </c>
      <c r="AV168">
        <v>28</v>
      </c>
      <c r="AX168" t="str">
        <v>kosong</v>
      </c>
      <c r="BB168">
        <v>26</v>
      </c>
      <c r="BD168" t="str">
        <v>kosong</v>
      </c>
      <c r="BH168">
        <v>27</v>
      </c>
      <c r="BJ168" t="str">
        <v>kosong</v>
      </c>
      <c r="BK168">
        <v>24</v>
      </c>
      <c r="BM168" t="str">
        <v>kosong</v>
      </c>
      <c r="BN168">
        <v>28</v>
      </c>
      <c r="BP168" t="str">
        <v>kosong</v>
      </c>
      <c r="BZ168">
        <v>19</v>
      </c>
      <c r="CB168" t="str">
        <v>kosong</v>
      </c>
      <c r="CC168">
        <v>23</v>
      </c>
      <c r="CE168" t="str">
        <v>kosong</v>
      </c>
      <c r="CF168">
        <v>18</v>
      </c>
      <c r="CH168" t="str">
        <v>kosong</v>
      </c>
      <c r="CN168" t="str">
        <v>ditarik</v>
      </c>
      <c r="DJ168">
        <v>6</v>
      </c>
      <c r="DL168" t="str">
        <v>penempatan</v>
      </c>
      <c r="DM168">
        <v>19</v>
      </c>
      <c r="DN168">
        <v>53000</v>
      </c>
      <c r="DP168">
        <v>17</v>
      </c>
      <c r="DQ168">
        <v>43500</v>
      </c>
      <c r="DS168">
        <v>18</v>
      </c>
      <c r="DT168">
        <v>16500</v>
      </c>
      <c r="DV168">
        <v>9</v>
      </c>
      <c r="DW168">
        <v>52500</v>
      </c>
      <c r="DY168">
        <v>10</v>
      </c>
      <c r="DZ168">
        <v>86000</v>
      </c>
      <c r="EB168">
        <v>9</v>
      </c>
      <c r="EC168">
        <v>110500</v>
      </c>
      <c r="EE168">
        <v>8</v>
      </c>
      <c r="EF168">
        <v>15000</v>
      </c>
      <c r="EH168">
        <v>9</v>
      </c>
      <c r="EI168">
        <v>7000</v>
      </c>
      <c r="EK168">
        <v>7</v>
      </c>
      <c r="EL168">
        <v>8000</v>
      </c>
      <c r="EN168">
        <v>6</v>
      </c>
      <c r="EO168">
        <v>18000</v>
      </c>
      <c r="EQ168">
        <v>8</v>
      </c>
      <c r="ER168">
        <v>4000</v>
      </c>
    </row>
    <row r="169">
      <c r="A169">
        <v>200</v>
      </c>
      <c r="B169" s="1">
        <v>44963</v>
      </c>
      <c r="C169" t="str">
        <v>0920220130</v>
      </c>
      <c r="D169" t="str">
        <v>Warteg putra bahari (gn Batu)/ toko jam kang ismail / toko putri hasanah 3</v>
      </c>
      <c r="F169" t="str">
        <v>Jl. Gunung Batu Raya No. 1</v>
      </c>
      <c r="G169" t="str">
        <v>Gunung Batu</v>
      </c>
      <c r="H169" t="str">
        <v>Bogor Barat</v>
      </c>
      <c r="I169" t="str">
        <v>Kota Bogor</v>
      </c>
      <c r="J169" t="str">
        <v>Jawa Barat</v>
      </c>
      <c r="K169" t="str">
        <v>831 4878 0694</v>
      </c>
      <c r="L169" t="str">
        <v>publik</v>
      </c>
      <c r="M169" t="str">
        <v>Dian J</v>
      </c>
      <c r="N169" t="str">
        <v>aktif</v>
      </c>
      <c r="AV169">
        <v>16</v>
      </c>
      <c r="AW169">
        <v>48500</v>
      </c>
      <c r="AY169">
        <v>12</v>
      </c>
      <c r="BA169" t="str">
        <v>kosong</v>
      </c>
      <c r="BH169">
        <v>24</v>
      </c>
      <c r="BI169">
        <v>43000</v>
      </c>
      <c r="BK169">
        <v>24</v>
      </c>
      <c r="BL169">
        <v>16500</v>
      </c>
      <c r="BN169">
        <v>21</v>
      </c>
      <c r="BO169">
        <v>13000</v>
      </c>
      <c r="BQ169">
        <v>23</v>
      </c>
      <c r="BR169">
        <v>8500</v>
      </c>
      <c r="BT169">
        <v>21</v>
      </c>
      <c r="BU169">
        <v>19000</v>
      </c>
      <c r="BW169">
        <v>20</v>
      </c>
      <c r="BX169">
        <v>31000</v>
      </c>
      <c r="BZ169">
        <v>16</v>
      </c>
      <c r="CA169">
        <v>16500</v>
      </c>
      <c r="CC169">
        <v>22</v>
      </c>
      <c r="CD169">
        <v>22000</v>
      </c>
      <c r="CF169">
        <v>18</v>
      </c>
      <c r="CG169">
        <v>3000</v>
      </c>
      <c r="CI169">
        <v>4</v>
      </c>
      <c r="CJ169">
        <v>20000</v>
      </c>
      <c r="CL169">
        <v>24</v>
      </c>
      <c r="CM169">
        <v>20000</v>
      </c>
      <c r="CO169">
        <v>11</v>
      </c>
      <c r="CP169">
        <v>22000</v>
      </c>
      <c r="EH169">
        <v>9</v>
      </c>
      <c r="EI169">
        <v>50000</v>
      </c>
      <c r="EJ169" t="str">
        <v>penempatan</v>
      </c>
      <c r="EN169">
        <v>13</v>
      </c>
      <c r="EO169">
        <v>53000</v>
      </c>
      <c r="EP169" t="str">
        <v>ditarik</v>
      </c>
      <c r="EQ169">
        <v>27</v>
      </c>
      <c r="ES169" t="str">
        <v>penempatan</v>
      </c>
    </row>
    <row r="170">
      <c r="A170">
        <v>88</v>
      </c>
      <c r="B170" s="1">
        <v>45306</v>
      </c>
      <c r="C170" t="str">
        <v>0120240028</v>
      </c>
      <c r="D170" t="str">
        <v>RM Pulo Raya</v>
      </c>
      <c r="F170" t="str">
        <v>Jl. pulo Empang Raya</v>
      </c>
      <c r="G170" t="str">
        <v>Paledang</v>
      </c>
      <c r="H170" t="str">
        <v>Bogor tengah</v>
      </c>
      <c r="I170" t="str">
        <v>Kota Bogor</v>
      </c>
      <c r="J170" t="str">
        <v>Jawa barat</v>
      </c>
      <c r="K170">
        <v>81389012118</v>
      </c>
      <c r="L170" t="str">
        <v>Publik</v>
      </c>
      <c r="M170" t="str">
        <v>Firdaus</v>
      </c>
      <c r="N170" t="str">
        <v>aktif</v>
      </c>
      <c r="CC170">
        <v>22</v>
      </c>
      <c r="CD170">
        <v>8000</v>
      </c>
      <c r="CF170">
        <v>28</v>
      </c>
      <c r="CG170">
        <v>4000</v>
      </c>
      <c r="CI170">
        <v>25</v>
      </c>
      <c r="CJ170">
        <v>40000</v>
      </c>
      <c r="CL170">
        <v>21</v>
      </c>
      <c r="CM170">
        <v>9000</v>
      </c>
      <c r="CO170">
        <v>13</v>
      </c>
      <c r="CP170">
        <v>18000</v>
      </c>
      <c r="CR170">
        <v>16</v>
      </c>
      <c r="CS170">
        <v>14000</v>
      </c>
      <c r="CU170">
        <v>16</v>
      </c>
      <c r="CV170">
        <v>34000</v>
      </c>
      <c r="CX170">
        <v>17</v>
      </c>
      <c r="CY170">
        <v>20000</v>
      </c>
      <c r="DA170">
        <v>18</v>
      </c>
      <c r="DB170">
        <v>36000</v>
      </c>
      <c r="DD170">
        <v>18</v>
      </c>
      <c r="DE170">
        <v>34000</v>
      </c>
      <c r="DG170">
        <v>16</v>
      </c>
      <c r="DH170">
        <v>10000</v>
      </c>
      <c r="DJ170">
        <v>14</v>
      </c>
      <c r="DK170">
        <v>14000</v>
      </c>
      <c r="DM170">
        <v>14</v>
      </c>
      <c r="DN170">
        <v>40000</v>
      </c>
      <c r="DP170">
        <v>12</v>
      </c>
      <c r="DQ170">
        <v>38000</v>
      </c>
      <c r="DV170">
        <v>14</v>
      </c>
      <c r="DW170">
        <v>14000</v>
      </c>
      <c r="DY170">
        <v>16</v>
      </c>
      <c r="DZ170">
        <v>34000</v>
      </c>
      <c r="EB170">
        <v>22</v>
      </c>
      <c r="EC170">
        <v>57000</v>
      </c>
      <c r="EE170">
        <v>15</v>
      </c>
      <c r="EF170">
        <v>24000</v>
      </c>
      <c r="EH170">
        <v>15</v>
      </c>
      <c r="EI170">
        <v>30000</v>
      </c>
      <c r="EK170">
        <v>15</v>
      </c>
      <c r="EL170">
        <v>29000</v>
      </c>
      <c r="EN170">
        <v>13</v>
      </c>
      <c r="EO170">
        <v>20000</v>
      </c>
    </row>
    <row r="171">
      <c r="A171">
        <v>89</v>
      </c>
      <c r="B171" s="1">
        <v>45672</v>
      </c>
      <c r="C171" t="str">
        <v>0920220150</v>
      </c>
      <c r="D171" t="str">
        <v>Jeda Box / Toko Madura Ananda Putra</v>
      </c>
      <c r="F171" t="str">
        <v>Jl. pulo Empang Raya</v>
      </c>
      <c r="G171" t="str">
        <v>Paledang</v>
      </c>
      <c r="H171" t="str">
        <v>Bogor tengah</v>
      </c>
      <c r="I171" t="str">
        <v>Kota Bogor</v>
      </c>
      <c r="J171" t="str">
        <v>Jawa barat</v>
      </c>
      <c r="K171">
        <v>81389012118</v>
      </c>
      <c r="L171" t="str">
        <v>Publik</v>
      </c>
      <c r="M171" t="str">
        <v>Firdaus</v>
      </c>
      <c r="N171" t="str">
        <v>non aktif</v>
      </c>
      <c r="BB171">
        <v>8</v>
      </c>
      <c r="BD171" t="str">
        <v>penempatan</v>
      </c>
      <c r="BE171">
        <v>8</v>
      </c>
      <c r="BF171">
        <v>5000</v>
      </c>
      <c r="BJ171" t="str">
        <v>kosong</v>
      </c>
      <c r="BN171">
        <v>26</v>
      </c>
      <c r="BO171">
        <v>7500</v>
      </c>
      <c r="BQ171">
        <v>27</v>
      </c>
      <c r="BS171" t="str">
        <v>kosong</v>
      </c>
      <c r="BW171">
        <v>21</v>
      </c>
      <c r="BY171" t="str">
        <v>kosong</v>
      </c>
      <c r="BZ171">
        <v>19</v>
      </c>
      <c r="CB171" t="str">
        <v>kosong</v>
      </c>
      <c r="CC171">
        <v>22</v>
      </c>
      <c r="CD171">
        <v>5000</v>
      </c>
      <c r="CF171">
        <v>26</v>
      </c>
      <c r="CG171">
        <v>10500</v>
      </c>
      <c r="CN171" t="str">
        <v>ditarik</v>
      </c>
      <c r="DL171" t="str">
        <v>penempatan</v>
      </c>
      <c r="DM171">
        <v>14</v>
      </c>
      <c r="DN171">
        <v>8000</v>
      </c>
      <c r="DP171">
        <v>12</v>
      </c>
      <c r="DQ171">
        <v>11000</v>
      </c>
      <c r="DS171">
        <v>18</v>
      </c>
      <c r="DT171">
        <v>12000</v>
      </c>
      <c r="DY171">
        <v>16</v>
      </c>
      <c r="DZ171">
        <v>7000</v>
      </c>
      <c r="EB171">
        <v>22</v>
      </c>
      <c r="EC171">
        <v>6000</v>
      </c>
      <c r="EE171">
        <v>22</v>
      </c>
      <c r="EF171">
        <v>5000</v>
      </c>
      <c r="EH171">
        <v>19</v>
      </c>
      <c r="EJ171" t="str">
        <v>kosong</v>
      </c>
      <c r="EK171">
        <v>15</v>
      </c>
      <c r="EM171" t="str">
        <v>kosong-ditarik</v>
      </c>
    </row>
    <row r="172">
      <c r="A172">
        <v>90</v>
      </c>
      <c r="B172" s="1">
        <v>45054</v>
      </c>
      <c r="C172" t="str">
        <v>0920220151</v>
      </c>
      <c r="D172" t="str">
        <v>Barokah Telor/ pd berkah jaya</v>
      </c>
      <c r="F172" t="str">
        <v>Jl.Pasar Sadane</v>
      </c>
      <c r="G172" t="str">
        <v>Empang</v>
      </c>
      <c r="H172" t="str">
        <v>Bogor Selatan</v>
      </c>
      <c r="I172" t="str">
        <v>Kota Bogor</v>
      </c>
      <c r="J172" t="str">
        <v>Jawa barat</v>
      </c>
      <c r="L172" t="str">
        <v>Publik</v>
      </c>
      <c r="M172" t="str">
        <v>Dian J</v>
      </c>
      <c r="N172" t="str">
        <v>aktif</v>
      </c>
      <c r="BB172">
        <v>8</v>
      </c>
      <c r="BD172" t="str">
        <v>penempatan</v>
      </c>
      <c r="BE172">
        <v>8</v>
      </c>
      <c r="BF172">
        <v>21500</v>
      </c>
      <c r="BH172">
        <v>12</v>
      </c>
      <c r="BI172">
        <v>6500</v>
      </c>
      <c r="BK172">
        <v>25</v>
      </c>
      <c r="BL172">
        <v>19000</v>
      </c>
      <c r="BN172">
        <v>26</v>
      </c>
      <c r="BO172">
        <v>20000</v>
      </c>
      <c r="BQ172">
        <v>25</v>
      </c>
      <c r="BR172">
        <v>8000</v>
      </c>
      <c r="BW172">
        <v>13</v>
      </c>
      <c r="BX172">
        <v>4000</v>
      </c>
      <c r="BZ172">
        <v>15</v>
      </c>
      <c r="CB172" t="str">
        <v>kosong</v>
      </c>
      <c r="CC172">
        <v>22</v>
      </c>
      <c r="CD172">
        <v>5000</v>
      </c>
      <c r="CI172">
        <v>25</v>
      </c>
      <c r="CJ172">
        <v>4000</v>
      </c>
      <c r="CL172">
        <v>21</v>
      </c>
      <c r="CM172">
        <v>4000</v>
      </c>
      <c r="CO172">
        <v>19</v>
      </c>
      <c r="CP172">
        <v>3000</v>
      </c>
      <c r="CR172">
        <v>16</v>
      </c>
      <c r="CS172">
        <v>4000</v>
      </c>
      <c r="CW172" t="str">
        <v>kosong</v>
      </c>
      <c r="CX172">
        <v>17</v>
      </c>
      <c r="CY172">
        <v>3000</v>
      </c>
      <c r="DA172">
        <v>18</v>
      </c>
      <c r="DB172">
        <v>4000</v>
      </c>
      <c r="DD172">
        <v>18</v>
      </c>
      <c r="DE172">
        <v>10500</v>
      </c>
      <c r="DG172">
        <v>16</v>
      </c>
      <c r="DH172">
        <v>5000</v>
      </c>
      <c r="DJ172">
        <v>15</v>
      </c>
      <c r="DK172">
        <v>3000</v>
      </c>
      <c r="DM172">
        <v>14</v>
      </c>
      <c r="DN172">
        <v>2000</v>
      </c>
      <c r="DP172">
        <v>12</v>
      </c>
      <c r="DQ172">
        <v>2000</v>
      </c>
      <c r="DS172">
        <v>18</v>
      </c>
      <c r="DT172">
        <v>11000</v>
      </c>
      <c r="DV172">
        <v>14</v>
      </c>
      <c r="DW172">
        <v>2000</v>
      </c>
      <c r="EA172" t="str">
        <v>kosong</v>
      </c>
      <c r="EB172">
        <v>22</v>
      </c>
      <c r="EC172">
        <v>13000</v>
      </c>
      <c r="ED172" t="str">
        <v>fitarik-pindah kotak</v>
      </c>
      <c r="EJ172" t="str">
        <v>kosong</v>
      </c>
      <c r="EN172">
        <v>13</v>
      </c>
      <c r="EO172">
        <v>5000</v>
      </c>
    </row>
    <row r="173">
      <c r="A173">
        <v>112</v>
      </c>
      <c r="B173" s="1">
        <v>45057</v>
      </c>
      <c r="C173" t="str">
        <v>0920220152</v>
      </c>
      <c r="D173" t="str">
        <v>Warteg Nasional Bahari</v>
      </c>
      <c r="F173" t="str">
        <v>Jl.Pulo Empang No.50 (samping DD seluler)</v>
      </c>
      <c r="G173" t="str">
        <v>Empang</v>
      </c>
      <c r="H173" t="str">
        <v>Bogor Selatan</v>
      </c>
      <c r="I173" t="str">
        <v>Kota Bogor</v>
      </c>
      <c r="J173" t="str">
        <v>Jawa barat</v>
      </c>
      <c r="L173" t="str">
        <v>Publik</v>
      </c>
      <c r="M173" t="str">
        <v>Dian J</v>
      </c>
      <c r="N173" t="str">
        <v>non aktif</v>
      </c>
      <c r="BB173">
        <v>8</v>
      </c>
      <c r="BD173" t="str">
        <v>penempatan</v>
      </c>
      <c r="BE173">
        <v>12</v>
      </c>
      <c r="BG173" t="str">
        <v>kosong</v>
      </c>
      <c r="BH173">
        <v>17</v>
      </c>
      <c r="BJ173" t="str">
        <v>kosong</v>
      </c>
      <c r="BK173">
        <v>25</v>
      </c>
      <c r="BL173">
        <v>22500</v>
      </c>
      <c r="BN173">
        <v>28</v>
      </c>
      <c r="BP173" t="str">
        <v>kosong</v>
      </c>
      <c r="BQ173">
        <v>27</v>
      </c>
      <c r="BS173" t="str">
        <v>kosong</v>
      </c>
      <c r="BW173">
        <v>21</v>
      </c>
      <c r="BY173" t="str">
        <v>kosong</v>
      </c>
      <c r="BZ173">
        <v>15</v>
      </c>
      <c r="CA173">
        <v>5000</v>
      </c>
      <c r="CL173">
        <v>21</v>
      </c>
      <c r="CM173">
        <v>7000</v>
      </c>
      <c r="CO173">
        <v>13</v>
      </c>
      <c r="CP173">
        <v>100000</v>
      </c>
      <c r="CR173">
        <v>16</v>
      </c>
      <c r="CS173">
        <v>60000</v>
      </c>
      <c r="CU173">
        <v>14</v>
      </c>
      <c r="CV173">
        <v>8000</v>
      </c>
      <c r="CX173" t="str">
        <v>28 17</v>
      </c>
      <c r="CY173">
        <v>55000</v>
      </c>
      <c r="DA173">
        <v>17</v>
      </c>
      <c r="DB173">
        <v>2500</v>
      </c>
      <c r="DD173">
        <v>18</v>
      </c>
      <c r="DE173">
        <v>8000</v>
      </c>
      <c r="DG173">
        <v>16</v>
      </c>
      <c r="DH173">
        <v>4000</v>
      </c>
      <c r="DJ173">
        <v>14</v>
      </c>
      <c r="DK173">
        <v>4000</v>
      </c>
      <c r="DM173">
        <v>14</v>
      </c>
      <c r="DN173">
        <v>3500</v>
      </c>
      <c r="DR173" t="str">
        <v>kosong</v>
      </c>
      <c r="DS173">
        <v>18</v>
      </c>
      <c r="DT173">
        <v>14000</v>
      </c>
      <c r="DY173">
        <v>16</v>
      </c>
      <c r="DZ173">
        <v>6500</v>
      </c>
      <c r="EH173">
        <v>15</v>
      </c>
      <c r="EJ173" t="str">
        <v>pindah</v>
      </c>
    </row>
    <row r="174">
      <c r="A174">
        <v>91</v>
      </c>
      <c r="B174" t="str">
        <v>2 Agutsus 2023</v>
      </c>
      <c r="C174" t="str">
        <v>0920220174</v>
      </c>
      <c r="D174" t="str">
        <v>RM Padang Ria Jaya</v>
      </c>
      <c r="F174" t="str">
        <v>Gang Aut ,Empang</v>
      </c>
      <c r="G174" t="str">
        <v>Empang</v>
      </c>
      <c r="H174" t="str">
        <v>Bogor Selatan</v>
      </c>
      <c r="I174" t="str">
        <v>Kota Bogor</v>
      </c>
      <c r="J174" t="str">
        <v>Jawa barat</v>
      </c>
      <c r="K174">
        <v>83873510617</v>
      </c>
      <c r="L174" t="str">
        <v>Publik</v>
      </c>
      <c r="M174" t="str">
        <v>Dian J</v>
      </c>
      <c r="N174" t="str">
        <v>non aktif</v>
      </c>
      <c r="BK174">
        <v>31</v>
      </c>
      <c r="BL174">
        <v>12500</v>
      </c>
      <c r="BM174" t="str">
        <v>Penempatan</v>
      </c>
      <c r="BQ174">
        <v>30</v>
      </c>
      <c r="BR174">
        <v>12000</v>
      </c>
      <c r="BW174">
        <v>21</v>
      </c>
      <c r="BY174" t="str">
        <v>kosong</v>
      </c>
      <c r="BZ174">
        <v>15</v>
      </c>
      <c r="CB174" t="str">
        <v>kosong</v>
      </c>
      <c r="CF174">
        <v>4</v>
      </c>
      <c r="CG174">
        <v>4500</v>
      </c>
      <c r="CI174">
        <v>25</v>
      </c>
      <c r="CJ174">
        <v>7000</v>
      </c>
      <c r="CL174">
        <v>28</v>
      </c>
      <c r="CM174">
        <v>3000</v>
      </c>
      <c r="DA174">
        <v>25</v>
      </c>
      <c r="DB174">
        <v>4000</v>
      </c>
      <c r="DJ174">
        <v>14</v>
      </c>
      <c r="DL174" t="str">
        <v>kosong</v>
      </c>
      <c r="DM174">
        <v>14</v>
      </c>
      <c r="DN174">
        <v>11000</v>
      </c>
      <c r="DP174">
        <v>2</v>
      </c>
      <c r="DQ174">
        <v>2000</v>
      </c>
      <c r="DS174">
        <v>18</v>
      </c>
      <c r="DT174">
        <v>42000</v>
      </c>
      <c r="DV174">
        <v>14</v>
      </c>
      <c r="DW174">
        <v>8000</v>
      </c>
      <c r="EA174" t="str">
        <v>kosong</v>
      </c>
      <c r="EB174">
        <v>17</v>
      </c>
      <c r="EC174">
        <v>10000</v>
      </c>
      <c r="EE174">
        <v>21</v>
      </c>
      <c r="EG174" t="str">
        <v>kosong</v>
      </c>
      <c r="EJ174" t="str">
        <v>tutup</v>
      </c>
      <c r="EM174" t="str">
        <v>ditarik</v>
      </c>
    </row>
    <row r="175">
      <c r="A175">
        <v>206</v>
      </c>
      <c r="B175" t="str">
        <v>2 Agutsus 2023</v>
      </c>
      <c r="C175" t="str">
        <v>0920220176</v>
      </c>
      <c r="D175" t="str">
        <v>Warung Ipung</v>
      </c>
      <c r="F175" t="str">
        <v>Jl.Layungsari,Depan Kec.Bogor Selatan</v>
      </c>
      <c r="G175" t="str">
        <v>Empang</v>
      </c>
      <c r="H175" t="str">
        <v>Bogor Selatan</v>
      </c>
      <c r="I175" t="str">
        <v>Kota Bogor</v>
      </c>
      <c r="J175" t="str">
        <v>Jawa barat</v>
      </c>
      <c r="K175">
        <v>81393912998</v>
      </c>
      <c r="L175" t="str">
        <v>Publik</v>
      </c>
      <c r="M175" t="str">
        <v>Dian J</v>
      </c>
      <c r="N175" t="str">
        <v>non aktif</v>
      </c>
      <c r="BK175">
        <v>2</v>
      </c>
      <c r="BM175" t="str">
        <v>Penempatan</v>
      </c>
      <c r="BQ175">
        <v>27</v>
      </c>
      <c r="BS175" t="str">
        <v>kosong</v>
      </c>
      <c r="BW175">
        <v>21</v>
      </c>
      <c r="BY175" t="str">
        <v>kosong</v>
      </c>
      <c r="BZ175">
        <v>15</v>
      </c>
      <c r="CB175" t="str">
        <v>kosong</v>
      </c>
    </row>
    <row r="176">
      <c r="A176">
        <v>92</v>
      </c>
      <c r="B176" s="1">
        <v>45649</v>
      </c>
      <c r="C176" t="str">
        <v>0920220177</v>
      </c>
      <c r="D176" t="str">
        <v>Toko Solihin / foto copy purnama</v>
      </c>
      <c r="F176" t="str">
        <v>jl. Ciomas Raya depan komplek bumi panggugah</v>
      </c>
      <c r="G176" t="str">
        <v>Ciomas Rahayu</v>
      </c>
      <c r="H176" t="str">
        <v>Ciomas</v>
      </c>
      <c r="I176" t="str">
        <v>Kab Bogor</v>
      </c>
      <c r="J176" t="str">
        <v>Jawa Barat</v>
      </c>
      <c r="L176" t="str">
        <v>publik</v>
      </c>
      <c r="M176" t="str">
        <v>Firdaus</v>
      </c>
      <c r="N176" t="str">
        <v>aktif</v>
      </c>
      <c r="BK176">
        <v>2</v>
      </c>
      <c r="BM176" t="str">
        <v>Penempatan</v>
      </c>
      <c r="BQ176">
        <v>27</v>
      </c>
      <c r="BS176" t="str">
        <v>kosong</v>
      </c>
      <c r="BW176">
        <v>21</v>
      </c>
      <c r="BY176" t="str">
        <v>kosong</v>
      </c>
      <c r="BZ176">
        <v>19</v>
      </c>
      <c r="CB176" t="str">
        <v>kosong</v>
      </c>
      <c r="DG176">
        <v>23</v>
      </c>
      <c r="DH176">
        <v>14000</v>
      </c>
      <c r="DJ176">
        <v>22</v>
      </c>
      <c r="DK176">
        <v>13000</v>
      </c>
      <c r="DM176">
        <v>24</v>
      </c>
      <c r="DN176">
        <v>14000</v>
      </c>
      <c r="DP176">
        <v>18</v>
      </c>
      <c r="DR176" t="str">
        <v>kosong</v>
      </c>
      <c r="DV176">
        <v>21</v>
      </c>
      <c r="DW176">
        <v>9000</v>
      </c>
      <c r="EA176" t="str">
        <v>kosong</v>
      </c>
      <c r="EB176">
        <v>18</v>
      </c>
      <c r="EC176">
        <v>34000</v>
      </c>
      <c r="EE176">
        <v>25</v>
      </c>
      <c r="EF176">
        <v>5000</v>
      </c>
      <c r="EH176">
        <v>17</v>
      </c>
      <c r="EI176">
        <v>5000</v>
      </c>
      <c r="EK176">
        <v>10</v>
      </c>
      <c r="EL176">
        <v>5000</v>
      </c>
      <c r="EN176">
        <v>21</v>
      </c>
      <c r="EO176">
        <v>7000</v>
      </c>
    </row>
    <row r="177">
      <c r="A177">
        <v>208</v>
      </c>
      <c r="B177" s="1">
        <v>44839</v>
      </c>
      <c r="C177" t="str">
        <v>0920220063</v>
      </c>
      <c r="D177" t="str">
        <v>Ilham / Berkah Karpet</v>
      </c>
      <c r="F177" t="str">
        <v>Jl. RE Abdullah area parkir Bakso Keraton</v>
      </c>
      <c r="G177" t="str">
        <v>Pasir Mulya</v>
      </c>
      <c r="H177" t="str">
        <v>Bogor Barat</v>
      </c>
      <c r="I177" t="str">
        <v>Kota Bogor</v>
      </c>
      <c r="J177" t="str">
        <v>Jawa Barat</v>
      </c>
      <c r="K177">
        <v>89603458693</v>
      </c>
      <c r="L177" t="str">
        <v>Publik</v>
      </c>
      <c r="M177" t="str">
        <v>Dian J</v>
      </c>
      <c r="N177" t="str">
        <v>non aktif</v>
      </c>
      <c r="AJ177">
        <v>14</v>
      </c>
      <c r="AK177">
        <v>5000</v>
      </c>
      <c r="AP177">
        <v>16</v>
      </c>
      <c r="AR177" t="str">
        <v>kosong</v>
      </c>
      <c r="AV177">
        <v>30</v>
      </c>
      <c r="AW177">
        <v>13500</v>
      </c>
      <c r="BB177">
        <v>26</v>
      </c>
      <c r="BD177" t="str">
        <v>kosong</v>
      </c>
      <c r="BH177">
        <v>24</v>
      </c>
      <c r="BI177">
        <v>4000</v>
      </c>
      <c r="BK177">
        <v>24</v>
      </c>
      <c r="BM177" t="str">
        <v>kosong</v>
      </c>
      <c r="BN177">
        <v>28</v>
      </c>
      <c r="BP177" t="str">
        <v>kosong</v>
      </c>
      <c r="BQ177">
        <v>27</v>
      </c>
      <c r="BS177" t="str">
        <v>kosong</v>
      </c>
      <c r="BT177">
        <v>23</v>
      </c>
      <c r="BV177" t="str">
        <v>kosong</v>
      </c>
      <c r="BW177">
        <v>21</v>
      </c>
      <c r="BY177" t="str">
        <v>kosong</v>
      </c>
      <c r="BZ177">
        <v>16</v>
      </c>
      <c r="CA177">
        <v>35000</v>
      </c>
      <c r="CC177">
        <v>23</v>
      </c>
      <c r="CE177" t="str">
        <v>kosong</v>
      </c>
      <c r="CF177">
        <v>18</v>
      </c>
      <c r="CH177" t="str">
        <v>kosong</v>
      </c>
      <c r="CI177">
        <v>19</v>
      </c>
      <c r="CJ177">
        <v>2000</v>
      </c>
      <c r="CL177">
        <v>6</v>
      </c>
      <c r="CM177">
        <v>4000</v>
      </c>
      <c r="CO177">
        <v>28</v>
      </c>
      <c r="CP177">
        <v>3500</v>
      </c>
    </row>
    <row r="178">
      <c r="A178">
        <v>209</v>
      </c>
      <c r="B178" s="1">
        <v>44839</v>
      </c>
      <c r="C178" t="str">
        <v>0920220064</v>
      </c>
      <c r="D178" t="str">
        <v>Soto Khas Bogor (bang jack)</v>
      </c>
      <c r="F178" t="str">
        <v>Jl. Komplek BPPB Pasir Mulya</v>
      </c>
      <c r="G178" t="str">
        <v>Pasir Mulya</v>
      </c>
      <c r="H178" t="str">
        <v>Bogor Barat</v>
      </c>
      <c r="I178" t="str">
        <v>Kota Bogor</v>
      </c>
      <c r="J178" t="str">
        <v>Jawa Barat</v>
      </c>
      <c r="K178">
        <v>83870636103</v>
      </c>
      <c r="L178" t="str">
        <v>Publik</v>
      </c>
      <c r="M178" t="str">
        <v>Dian J</v>
      </c>
      <c r="N178" t="str">
        <v>non aktif</v>
      </c>
      <c r="AJ178">
        <v>28</v>
      </c>
      <c r="AK178">
        <v>5000</v>
      </c>
      <c r="AP178">
        <v>16</v>
      </c>
      <c r="AQ178">
        <v>4000</v>
      </c>
      <c r="AS178">
        <v>20</v>
      </c>
      <c r="AT178">
        <v>5500</v>
      </c>
      <c r="AV178">
        <v>30</v>
      </c>
      <c r="AW178">
        <v>12000</v>
      </c>
      <c r="BB178">
        <v>16</v>
      </c>
      <c r="BC178">
        <v>13500</v>
      </c>
      <c r="BH178">
        <v>24</v>
      </c>
      <c r="BI178">
        <v>23000</v>
      </c>
      <c r="BK178">
        <v>24</v>
      </c>
      <c r="BL178">
        <v>15500</v>
      </c>
      <c r="BN178">
        <v>28</v>
      </c>
      <c r="BP178" t="str">
        <v>kosong</v>
      </c>
      <c r="BW178">
        <v>20</v>
      </c>
      <c r="BX178">
        <v>5000</v>
      </c>
      <c r="BZ178">
        <v>26</v>
      </c>
      <c r="CA178">
        <v>5000</v>
      </c>
      <c r="CC178">
        <v>23</v>
      </c>
      <c r="CE178" t="str">
        <v>kosong</v>
      </c>
      <c r="CF178">
        <v>18</v>
      </c>
      <c r="CH178" t="str">
        <v>kosong</v>
      </c>
      <c r="CN178" t="str">
        <v>kosong</v>
      </c>
      <c r="CQ178" t="str">
        <v>ditarik</v>
      </c>
    </row>
    <row r="179">
      <c r="A179">
        <v>210</v>
      </c>
      <c r="B179" s="1">
        <v>45054</v>
      </c>
      <c r="C179" t="str">
        <v>0920220149</v>
      </c>
      <c r="D179" t="str">
        <v>Ayam Goreng /Bakar Mang Dery</v>
      </c>
      <c r="F179" t="str">
        <v>JL.Sadane Depan SDIT Al Irsyad</v>
      </c>
      <c r="G179" t="str">
        <v>Empang</v>
      </c>
      <c r="H179" t="str">
        <v>Bogor Selatan</v>
      </c>
      <c r="I179" t="str">
        <v>Kota Bogor</v>
      </c>
      <c r="J179" t="str">
        <v>Jawa barat</v>
      </c>
      <c r="K179">
        <v>83819912033</v>
      </c>
      <c r="L179" t="str">
        <v>Publik</v>
      </c>
      <c r="M179" t="str">
        <v>Dian J</v>
      </c>
      <c r="N179" t="str">
        <v>non aktif</v>
      </c>
      <c r="BB179">
        <v>8</v>
      </c>
      <c r="BD179" t="str">
        <v>penempatan</v>
      </c>
      <c r="BJ179" t="str">
        <v>kosong</v>
      </c>
      <c r="BK179">
        <v>25</v>
      </c>
      <c r="BL179">
        <v>15500</v>
      </c>
      <c r="BN179">
        <v>28</v>
      </c>
      <c r="BP179" t="str">
        <v>kosong</v>
      </c>
      <c r="BQ179">
        <v>27</v>
      </c>
      <c r="BS179" t="str">
        <v>kosong</v>
      </c>
      <c r="BW179">
        <v>13</v>
      </c>
      <c r="BX179">
        <v>6000</v>
      </c>
      <c r="BZ179">
        <v>15</v>
      </c>
      <c r="CB179" t="str">
        <v>kosong</v>
      </c>
      <c r="CC179">
        <v>23</v>
      </c>
      <c r="CE179" t="str">
        <v>kosong</v>
      </c>
      <c r="CN179" t="str">
        <v>ditarik</v>
      </c>
    </row>
    <row r="180">
      <c r="A180">
        <v>211</v>
      </c>
      <c r="B180" s="1">
        <v>44879</v>
      </c>
      <c r="C180" t="str">
        <v>0920220097</v>
      </c>
      <c r="D180" t="str">
        <v>Ari (bpk) petshop</v>
      </c>
      <c r="F180" t="str">
        <v>Jl. Sirna Galih No.17</v>
      </c>
      <c r="G180" t="str">
        <v>Loji</v>
      </c>
      <c r="H180" t="str">
        <v>Bogor Barat</v>
      </c>
      <c r="I180" t="str">
        <v>Kota Bogor</v>
      </c>
      <c r="J180" t="str">
        <v>Jawa Barat</v>
      </c>
      <c r="K180">
        <v>85920705818</v>
      </c>
      <c r="L180" t="str">
        <v>Publk</v>
      </c>
      <c r="M180" t="str">
        <v>Dian J</v>
      </c>
      <c r="N180" t="str">
        <v>non aktif</v>
      </c>
      <c r="AM180">
        <v>16</v>
      </c>
      <c r="AN180">
        <v>9000</v>
      </c>
      <c r="AP180">
        <v>16</v>
      </c>
      <c r="AR180" t="str">
        <v>kosong</v>
      </c>
      <c r="AS180">
        <v>27</v>
      </c>
      <c r="AU180" t="str">
        <v>kosong</v>
      </c>
      <c r="AV180">
        <v>28</v>
      </c>
      <c r="AX180" t="str">
        <v>kosong</v>
      </c>
      <c r="BB180">
        <v>31</v>
      </c>
      <c r="BC180">
        <v>5000</v>
      </c>
      <c r="BK180">
        <v>24</v>
      </c>
      <c r="BM180" t="str">
        <v>kosong</v>
      </c>
      <c r="BN180">
        <v>28</v>
      </c>
      <c r="BP180" t="str">
        <v>kosong</v>
      </c>
      <c r="BQ180">
        <v>27</v>
      </c>
      <c r="BR180">
        <v>10000</v>
      </c>
    </row>
    <row r="181">
      <c r="A181">
        <v>93</v>
      </c>
      <c r="B181" s="1">
        <v>44901</v>
      </c>
      <c r="C181" t="str">
        <v>0920220102</v>
      </c>
      <c r="D181" t="str">
        <v>Ibu Hj. Sudirman / tkit al muslimun</v>
      </c>
      <c r="F181" t="str">
        <v>Jl. Selakopi (Masjid Al Muslimun)</v>
      </c>
      <c r="G181" t="str">
        <v>Loji</v>
      </c>
      <c r="H181" t="str">
        <v>Bogor Barat</v>
      </c>
      <c r="I181" t="str">
        <v>Kota Bogor</v>
      </c>
      <c r="J181" t="str">
        <v>Jawa Barat</v>
      </c>
      <c r="K181">
        <v>81316377759</v>
      </c>
      <c r="L181" t="str">
        <v>Home</v>
      </c>
      <c r="M181" t="str">
        <v>Dian J</v>
      </c>
      <c r="N181" t="str">
        <v>aktif</v>
      </c>
      <c r="AP181">
        <v>24</v>
      </c>
      <c r="AR181" t="str">
        <v>bln depan</v>
      </c>
      <c r="AS181">
        <v>9</v>
      </c>
      <c r="AT181">
        <v>35000</v>
      </c>
      <c r="AV181">
        <v>28</v>
      </c>
      <c r="AX181" t="str">
        <v>kosong</v>
      </c>
      <c r="BB181">
        <v>31</v>
      </c>
      <c r="BC181">
        <v>138000</v>
      </c>
      <c r="BH181">
        <v>28</v>
      </c>
      <c r="BI181">
        <v>23000</v>
      </c>
      <c r="BN181">
        <v>27</v>
      </c>
      <c r="BO181">
        <v>3000</v>
      </c>
      <c r="BT181">
        <v>28</v>
      </c>
      <c r="BU181">
        <v>50500</v>
      </c>
      <c r="CC181">
        <v>28</v>
      </c>
      <c r="CD181">
        <v>15000</v>
      </c>
      <c r="CF181">
        <v>22</v>
      </c>
      <c r="CG181">
        <v>20000</v>
      </c>
      <c r="CI181">
        <v>29</v>
      </c>
      <c r="CJ181">
        <v>10000</v>
      </c>
      <c r="CL181">
        <v>29</v>
      </c>
      <c r="CM181">
        <v>12500</v>
      </c>
      <c r="CQ181" t="str">
        <v>kosong</v>
      </c>
      <c r="CR181">
        <v>23</v>
      </c>
      <c r="CS181">
        <v>23000</v>
      </c>
      <c r="CX181">
        <v>25</v>
      </c>
      <c r="CY181">
        <v>48000</v>
      </c>
      <c r="DD181">
        <v>21</v>
      </c>
      <c r="DE181">
        <v>78000</v>
      </c>
      <c r="DJ181">
        <v>22</v>
      </c>
      <c r="DK181">
        <v>52000</v>
      </c>
      <c r="DM181">
        <v>25</v>
      </c>
      <c r="DN181">
        <v>53000</v>
      </c>
      <c r="DP181">
        <v>20</v>
      </c>
      <c r="DQ181">
        <v>62000</v>
      </c>
      <c r="DS181">
        <v>25</v>
      </c>
      <c r="DU181" t="str">
        <v>kosong</v>
      </c>
      <c r="DV181">
        <v>20</v>
      </c>
      <c r="DW181">
        <v>46000</v>
      </c>
      <c r="EA181" t="str">
        <v>libur</v>
      </c>
      <c r="EB181">
        <v>1</v>
      </c>
      <c r="EC181">
        <v>46000</v>
      </c>
      <c r="EE181">
        <v>12</v>
      </c>
      <c r="EF181">
        <v>40000</v>
      </c>
      <c r="EH181">
        <v>23</v>
      </c>
      <c r="EI181">
        <v>29000</v>
      </c>
      <c r="EK181">
        <v>22</v>
      </c>
      <c r="EL181">
        <v>48000</v>
      </c>
      <c r="EN181">
        <v>21</v>
      </c>
      <c r="EO181">
        <v>48000</v>
      </c>
    </row>
    <row r="182">
      <c r="A182">
        <v>94</v>
      </c>
      <c r="B182" s="1">
        <v>45343</v>
      </c>
      <c r="C182" t="str">
        <v>0920220108</v>
      </c>
      <c r="D182" t="str">
        <v>Toko Kelontong Bayu Syaiful jaya madura</v>
      </c>
      <c r="F182" t="str">
        <v>jl. Selakuni deket p3an perumahan goodyear</v>
      </c>
      <c r="G182" t="str">
        <v>Ciomas Rahayu</v>
      </c>
      <c r="H182" t="str">
        <v>Ciomas</v>
      </c>
      <c r="I182" t="str">
        <v>Kab Bogor</v>
      </c>
      <c r="J182" t="str">
        <v>Jawa barat</v>
      </c>
      <c r="L182" t="str">
        <v>Publik</v>
      </c>
      <c r="M182" t="str">
        <v>Firdaus</v>
      </c>
      <c r="N182" t="str">
        <v>aktif</v>
      </c>
      <c r="CF182">
        <v>18</v>
      </c>
      <c r="CG182">
        <v>12000</v>
      </c>
      <c r="CI182">
        <v>19</v>
      </c>
      <c r="CJ182">
        <v>18000</v>
      </c>
      <c r="CN182" t="str">
        <v>kosong</v>
      </c>
      <c r="CO182">
        <v>14</v>
      </c>
      <c r="CP182">
        <v>18000</v>
      </c>
      <c r="CR182">
        <v>12</v>
      </c>
      <c r="CS182">
        <v>25000</v>
      </c>
      <c r="CU182">
        <v>14</v>
      </c>
      <c r="CV182">
        <v>27000</v>
      </c>
      <c r="DA182">
        <v>14</v>
      </c>
      <c r="DB182">
        <v>21000</v>
      </c>
      <c r="DD182">
        <v>13</v>
      </c>
      <c r="DE182">
        <v>15500</v>
      </c>
      <c r="DG182">
        <v>9</v>
      </c>
      <c r="DH182">
        <v>43000</v>
      </c>
      <c r="DJ182">
        <v>9</v>
      </c>
      <c r="DK182">
        <v>38000</v>
      </c>
      <c r="DM182">
        <v>11</v>
      </c>
      <c r="DN182">
        <v>24000</v>
      </c>
      <c r="DP182">
        <v>10</v>
      </c>
      <c r="DQ182">
        <v>16000</v>
      </c>
      <c r="DS182">
        <v>9</v>
      </c>
      <c r="DT182">
        <v>8000</v>
      </c>
      <c r="DV182">
        <v>8</v>
      </c>
      <c r="DW182">
        <v>17000</v>
      </c>
      <c r="DY182">
        <v>10</v>
      </c>
      <c r="DZ182">
        <v>19000</v>
      </c>
      <c r="EB182">
        <v>11</v>
      </c>
      <c r="EC182">
        <v>58000</v>
      </c>
      <c r="EE182">
        <v>7</v>
      </c>
      <c r="EF182">
        <v>9000</v>
      </c>
      <c r="EH182">
        <v>9</v>
      </c>
      <c r="EI182">
        <v>4500</v>
      </c>
      <c r="EK182">
        <v>8</v>
      </c>
      <c r="EL182">
        <v>4500</v>
      </c>
      <c r="EN182">
        <v>11</v>
      </c>
      <c r="EO182">
        <v>19000</v>
      </c>
      <c r="EQ182">
        <v>9</v>
      </c>
      <c r="ER182">
        <v>33000</v>
      </c>
    </row>
    <row r="183">
      <c r="A183">
        <v>95</v>
      </c>
      <c r="B183" s="1">
        <v>45355</v>
      </c>
      <c r="C183" t="str">
        <v>0920220103</v>
      </c>
      <c r="D183" t="str">
        <v>Toko Arum Buah Segar/Warung Sayur Klik</v>
      </c>
      <c r="F183" t="str">
        <v>Jl. Semplak Raya Deket Soto Lamongan</v>
      </c>
      <c r="G183" t="str">
        <v>Semplak</v>
      </c>
      <c r="H183" t="str">
        <v>Bogor Barat</v>
      </c>
      <c r="I183" t="str">
        <v>Kota Bogor</v>
      </c>
      <c r="J183" t="str">
        <v>Jawa Barat</v>
      </c>
      <c r="K183" t="str">
        <v>0812 84160557</v>
      </c>
      <c r="L183" t="str">
        <v>Publik</v>
      </c>
      <c r="M183" t="str">
        <v>Suri</v>
      </c>
      <c r="N183" t="str">
        <v>aktif</v>
      </c>
      <c r="CI183">
        <v>26</v>
      </c>
      <c r="CJ183">
        <v>9000</v>
      </c>
      <c r="CL183">
        <v>28</v>
      </c>
      <c r="CN183" t="str">
        <v>kosong</v>
      </c>
      <c r="CO183">
        <v>20</v>
      </c>
      <c r="CP183">
        <v>2000</v>
      </c>
      <c r="CU183">
        <v>21</v>
      </c>
      <c r="CV183">
        <v>11000</v>
      </c>
      <c r="CX183">
        <v>19</v>
      </c>
      <c r="CY183">
        <v>18000</v>
      </c>
      <c r="DA183">
        <v>16</v>
      </c>
      <c r="DB183">
        <v>7000</v>
      </c>
      <c r="DD183">
        <v>14</v>
      </c>
      <c r="DE183">
        <v>13000</v>
      </c>
      <c r="DG183">
        <v>11</v>
      </c>
      <c r="DH183">
        <v>5000</v>
      </c>
      <c r="DJ183">
        <v>13</v>
      </c>
      <c r="DK183">
        <v>15000</v>
      </c>
      <c r="DL183" t="str">
        <v>nurs</v>
      </c>
      <c r="DM183">
        <v>10</v>
      </c>
      <c r="DN183">
        <v>5000</v>
      </c>
      <c r="DP183">
        <v>4</v>
      </c>
      <c r="DQ183">
        <v>5000</v>
      </c>
      <c r="DU183" t="str">
        <v>kosong</v>
      </c>
      <c r="EA183" t="str">
        <v>tutup</v>
      </c>
      <c r="EB183">
        <v>2</v>
      </c>
      <c r="ED183" t="str">
        <v>tutup</v>
      </c>
      <c r="EK183">
        <v>1</v>
      </c>
      <c r="EM183" t="str">
        <v>kosong</v>
      </c>
      <c r="EP183" t="str">
        <v>kosong</v>
      </c>
      <c r="EQ183">
        <v>1</v>
      </c>
      <c r="ES183" t="str">
        <v>tutup</v>
      </c>
    </row>
    <row r="184">
      <c r="A184">
        <v>96</v>
      </c>
      <c r="B184" s="1">
        <v>45355</v>
      </c>
      <c r="C184" t="str">
        <v>0920220104</v>
      </c>
      <c r="D184" t="str">
        <v>Sae Mebel</v>
      </c>
      <c r="F184" t="str">
        <v>Jl. Mayor Oking deket stasiun Bogor</v>
      </c>
      <c r="G184" t="str">
        <v>Cibogor</v>
      </c>
      <c r="H184" t="str">
        <v>Bogor tengah</v>
      </c>
      <c r="I184" t="str">
        <v>Kota Bogor</v>
      </c>
      <c r="J184" t="str">
        <v>Jawa Barat</v>
      </c>
      <c r="L184" t="str">
        <v>Publik</v>
      </c>
      <c r="M184" t="str">
        <v>Firdaus</v>
      </c>
      <c r="N184" t="str">
        <v>aktif</v>
      </c>
      <c r="CN184" t="str">
        <v>kosong</v>
      </c>
      <c r="CQ184" t="str">
        <v>kosong</v>
      </c>
      <c r="CU184">
        <v>5</v>
      </c>
      <c r="CV184">
        <v>3000</v>
      </c>
      <c r="CX184">
        <v>17</v>
      </c>
      <c r="CY184">
        <v>5000</v>
      </c>
      <c r="DA184">
        <v>7</v>
      </c>
      <c r="DB184">
        <v>9000</v>
      </c>
      <c r="DD184">
        <v>7</v>
      </c>
      <c r="DE184">
        <v>20000</v>
      </c>
      <c r="DG184">
        <v>10</v>
      </c>
      <c r="DH184">
        <v>7000</v>
      </c>
      <c r="DJ184">
        <v>6</v>
      </c>
      <c r="DK184">
        <v>8000</v>
      </c>
      <c r="DM184">
        <v>10</v>
      </c>
      <c r="DN184">
        <v>8000</v>
      </c>
      <c r="DP184">
        <v>4</v>
      </c>
      <c r="DQ184">
        <v>8000</v>
      </c>
      <c r="DS184">
        <v>18</v>
      </c>
      <c r="DT184">
        <v>10000</v>
      </c>
      <c r="DV184">
        <v>7</v>
      </c>
      <c r="DW184">
        <v>6000</v>
      </c>
      <c r="DY184">
        <v>4</v>
      </c>
      <c r="DZ184">
        <v>13000</v>
      </c>
      <c r="EB184">
        <v>3</v>
      </c>
      <c r="EC184">
        <v>9000</v>
      </c>
      <c r="EE184">
        <v>5</v>
      </c>
      <c r="EF184">
        <v>13500</v>
      </c>
      <c r="EH184">
        <v>17</v>
      </c>
      <c r="EI184">
        <v>9000</v>
      </c>
      <c r="EK184">
        <v>14</v>
      </c>
      <c r="EL184">
        <v>7000</v>
      </c>
      <c r="EN184">
        <v>11</v>
      </c>
      <c r="EO184">
        <v>6000</v>
      </c>
    </row>
    <row r="185">
      <c r="A185">
        <v>216</v>
      </c>
      <c r="B185" s="1">
        <v>45355</v>
      </c>
      <c r="C185" t="str">
        <v>0920220105</v>
      </c>
      <c r="D185" t="str">
        <v>Indah Mebel</v>
      </c>
      <c r="F185" t="str">
        <v>Jl. Mayor Oking deket stasiun Bogor</v>
      </c>
      <c r="G185" t="str">
        <v>Cibogor</v>
      </c>
      <c r="H185" t="str">
        <v>Bogor tengah</v>
      </c>
      <c r="I185" t="str">
        <v>Kota Bogor</v>
      </c>
      <c r="J185" t="str">
        <v>Jawa Barat</v>
      </c>
      <c r="L185" t="str">
        <v>Publik</v>
      </c>
      <c r="M185" t="str">
        <v>Firdaus</v>
      </c>
      <c r="N185" t="str">
        <v>non aktif</v>
      </c>
      <c r="CN185" t="str">
        <v>kosong</v>
      </c>
      <c r="CO185">
        <v>11</v>
      </c>
      <c r="CP185">
        <v>4500</v>
      </c>
      <c r="CT185" t="str">
        <v>ditarik</v>
      </c>
    </row>
    <row r="186">
      <c r="A186">
        <v>97</v>
      </c>
      <c r="B186" s="1">
        <v>45357</v>
      </c>
      <c r="C186" t="str">
        <v>0920220106</v>
      </c>
      <c r="D186" t="str">
        <v>Warteg Barokah</v>
      </c>
      <c r="F186" t="str">
        <v xml:space="preserve">Jl. Mayor Oking deket halte gojek stasiun Bogor </v>
      </c>
      <c r="G186" t="str">
        <v>Cibogor</v>
      </c>
      <c r="H186" t="str">
        <v>Bogor tengah</v>
      </c>
      <c r="I186" t="str">
        <v>Kota Bogor</v>
      </c>
      <c r="J186" t="str">
        <v>Jawa Barat</v>
      </c>
      <c r="L186" t="str">
        <v>Publik</v>
      </c>
      <c r="M186" t="str">
        <v>Firdaus</v>
      </c>
      <c r="N186" t="str">
        <v>aktif</v>
      </c>
      <c r="CN186" t="str">
        <v>kosong</v>
      </c>
      <c r="CO186">
        <v>11</v>
      </c>
      <c r="CP186">
        <v>19500</v>
      </c>
      <c r="CR186">
        <v>9</v>
      </c>
      <c r="CS186">
        <v>23500</v>
      </c>
      <c r="CU186">
        <v>5</v>
      </c>
      <c r="CV186">
        <v>13000</v>
      </c>
      <c r="CX186">
        <v>2</v>
      </c>
      <c r="CY186">
        <v>5000</v>
      </c>
      <c r="DA186">
        <v>7</v>
      </c>
      <c r="DB186">
        <v>17000</v>
      </c>
      <c r="DD186">
        <v>12</v>
      </c>
      <c r="DE186">
        <v>16000</v>
      </c>
      <c r="DG186">
        <v>10</v>
      </c>
      <c r="DH186">
        <v>25000</v>
      </c>
      <c r="DJ186">
        <v>11</v>
      </c>
      <c r="DL186" t="str">
        <v>kosong</v>
      </c>
      <c r="DM186">
        <v>10</v>
      </c>
      <c r="DN186">
        <v>20000</v>
      </c>
      <c r="DP186">
        <v>4</v>
      </c>
      <c r="DQ186">
        <v>29000</v>
      </c>
      <c r="DS186">
        <v>18</v>
      </c>
      <c r="DT186">
        <v>6500</v>
      </c>
      <c r="DV186">
        <v>7</v>
      </c>
      <c r="DW186">
        <v>6000</v>
      </c>
      <c r="DY186">
        <v>4</v>
      </c>
      <c r="DZ186">
        <v>3000</v>
      </c>
      <c r="EB186">
        <v>3</v>
      </c>
      <c r="EC186">
        <v>8000</v>
      </c>
      <c r="EE186">
        <v>5</v>
      </c>
      <c r="EF186">
        <v>15000</v>
      </c>
      <c r="EH186">
        <v>3</v>
      </c>
      <c r="EI186">
        <v>10000</v>
      </c>
      <c r="EK186">
        <v>14</v>
      </c>
      <c r="EL186">
        <v>15000</v>
      </c>
      <c r="EN186">
        <v>11</v>
      </c>
      <c r="EO186">
        <v>5000</v>
      </c>
    </row>
    <row r="187">
      <c r="A187">
        <v>118</v>
      </c>
      <c r="B187" s="1">
        <v>45358</v>
      </c>
      <c r="C187" t="str">
        <v>0920220107</v>
      </c>
      <c r="D187" t="str">
        <v>Warung kelontong Toko Berkah sindangbarang</v>
      </c>
      <c r="F187" t="str">
        <v>Jl. Sindang barang deket BHS</v>
      </c>
      <c r="G187" t="str">
        <v>Sindang Barang</v>
      </c>
      <c r="H187" t="str">
        <v>Bogor Barat</v>
      </c>
      <c r="I187" t="str">
        <v xml:space="preserve">Kota Bogor </v>
      </c>
      <c r="J187" t="str">
        <v>Jawa barat</v>
      </c>
      <c r="L187" t="str">
        <v>Publik</v>
      </c>
      <c r="M187" t="str">
        <v>Firdaus</v>
      </c>
      <c r="N187" t="str">
        <v>aktif</v>
      </c>
      <c r="CI187">
        <v>18</v>
      </c>
      <c r="CJ187">
        <v>13500</v>
      </c>
      <c r="CL187" t="str">
        <v>9,20</v>
      </c>
      <c r="CM187">
        <v>26000</v>
      </c>
      <c r="CQ187" t="str">
        <v>kosong</v>
      </c>
      <c r="CR187">
        <v>10</v>
      </c>
      <c r="CS187">
        <v>220000</v>
      </c>
      <c r="CU187">
        <v>7</v>
      </c>
      <c r="CV187">
        <v>11000</v>
      </c>
      <c r="CX187">
        <v>3</v>
      </c>
      <c r="CY187">
        <v>8000</v>
      </c>
      <c r="EH187">
        <v>2</v>
      </c>
      <c r="EI187">
        <v>6000</v>
      </c>
      <c r="EK187">
        <v>2</v>
      </c>
      <c r="EL187">
        <v>5000</v>
      </c>
      <c r="EQ187">
        <v>2</v>
      </c>
      <c r="ER187">
        <v>18000</v>
      </c>
    </row>
    <row r="188">
      <c r="A188">
        <v>98</v>
      </c>
      <c r="B188" s="1">
        <v>45359</v>
      </c>
      <c r="C188" t="str">
        <v>0920220108</v>
      </c>
      <c r="D188" t="str">
        <v>TB Kurnia Abadi</v>
      </c>
      <c r="F188" t="str">
        <v>Jl. Ishak Juarsa Gunung Batu deket klinik pratama</v>
      </c>
      <c r="G188" t="str">
        <v>Gunung Batu</v>
      </c>
      <c r="H188" t="str">
        <v>Bogor Barat</v>
      </c>
      <c r="I188" t="str">
        <v>Kota Bogor</v>
      </c>
      <c r="J188" t="str">
        <v>Jawa Barat</v>
      </c>
      <c r="L188" t="str">
        <v>Publik</v>
      </c>
      <c r="M188" t="str">
        <v>Firdaus</v>
      </c>
      <c r="N188" t="str">
        <v>aktif</v>
      </c>
      <c r="CI188">
        <v>19</v>
      </c>
      <c r="CJ188">
        <v>12000</v>
      </c>
      <c r="CL188">
        <v>17</v>
      </c>
      <c r="CM188">
        <v>21000</v>
      </c>
      <c r="CQ188" t="str">
        <v>kosong</v>
      </c>
      <c r="CX188" t="str">
        <v>28,23</v>
      </c>
      <c r="CY188">
        <v>100000</v>
      </c>
      <c r="DC188" t="str">
        <v>kosong</v>
      </c>
      <c r="DG188">
        <v>19</v>
      </c>
      <c r="DH188">
        <v>20000</v>
      </c>
      <c r="DJ188">
        <v>11</v>
      </c>
      <c r="DL188" t="str">
        <v>kosong</v>
      </c>
      <c r="DO188" t="str">
        <v>kosong</v>
      </c>
      <c r="DP188">
        <v>6</v>
      </c>
      <c r="DQ188">
        <v>20000</v>
      </c>
      <c r="DS188">
        <v>22</v>
      </c>
      <c r="DT188">
        <v>20000</v>
      </c>
      <c r="DY188" t="str">
        <v>28  24</v>
      </c>
      <c r="EA188" t="str">
        <v>kosong</v>
      </c>
      <c r="EE188">
        <v>31</v>
      </c>
      <c r="EF188">
        <v>20000</v>
      </c>
      <c r="EJ188" t="str">
        <v>kosong</v>
      </c>
      <c r="EK188">
        <v>2</v>
      </c>
      <c r="EM188" t="str">
        <v>kosong- ditarik</v>
      </c>
      <c r="EN188">
        <v>17</v>
      </c>
      <c r="EO188">
        <v>20000</v>
      </c>
    </row>
    <row r="189">
      <c r="A189">
        <v>220</v>
      </c>
      <c r="B189" s="1">
        <v>45366</v>
      </c>
      <c r="C189" t="str">
        <v>0920220111</v>
      </c>
      <c r="D189" t="str">
        <v>Toko kelontong Abi Laladon/ warkop hs</v>
      </c>
      <c r="F189" t="str">
        <v>JL.Lingkar Laladon deket komp permai</v>
      </c>
      <c r="G189" t="str">
        <v>Laladon</v>
      </c>
      <c r="H189" t="str">
        <v>Ciomas</v>
      </c>
      <c r="I189" t="str">
        <v>Kab Bogor</v>
      </c>
      <c r="J189" t="str">
        <v>Jawa barat</v>
      </c>
      <c r="L189" t="str">
        <v>Publik</v>
      </c>
      <c r="M189" t="str">
        <v>Firdaus</v>
      </c>
      <c r="N189" t="str">
        <v>aktif</v>
      </c>
      <c r="CN189" t="str">
        <v>kosong</v>
      </c>
      <c r="EK189">
        <v>24</v>
      </c>
      <c r="EM189" t="str">
        <v>penempatan</v>
      </c>
      <c r="EN189">
        <v>21</v>
      </c>
      <c r="EO189">
        <v>3000</v>
      </c>
    </row>
    <row r="190">
      <c r="A190">
        <v>99</v>
      </c>
      <c r="B190" s="1">
        <v>45348</v>
      </c>
      <c r="C190" t="str">
        <v>0920220112</v>
      </c>
      <c r="D190" t="str">
        <v>RM Sambalado</v>
      </c>
      <c r="F190" t="str">
        <v>Jl. Lingkar Dramaga dekat dakara cafe</v>
      </c>
      <c r="G190" t="str">
        <v xml:space="preserve">Dramaga </v>
      </c>
      <c r="H190" t="str">
        <v xml:space="preserve">Dramaga </v>
      </c>
      <c r="I190" t="str">
        <v>Kab Bogor</v>
      </c>
      <c r="J190" t="str">
        <v>Jawa barat</v>
      </c>
      <c r="L190" t="str">
        <v>Publik</v>
      </c>
      <c r="M190" t="str">
        <v>Firdaus</v>
      </c>
      <c r="N190" t="str">
        <v>aktif</v>
      </c>
      <c r="CF190">
        <v>26</v>
      </c>
      <c r="CG190">
        <v>4500</v>
      </c>
      <c r="CI190">
        <v>22</v>
      </c>
      <c r="CJ190">
        <v>8000</v>
      </c>
      <c r="CL190">
        <v>23</v>
      </c>
      <c r="CM190">
        <v>4000</v>
      </c>
      <c r="CO190">
        <v>24</v>
      </c>
      <c r="CP190">
        <v>9000</v>
      </c>
      <c r="CU190">
        <v>12</v>
      </c>
      <c r="CV190">
        <v>4000</v>
      </c>
      <c r="CX190">
        <v>12</v>
      </c>
      <c r="CY190">
        <v>5000</v>
      </c>
      <c r="DC190" t="str">
        <v>kosong</v>
      </c>
      <c r="DG190">
        <v>6</v>
      </c>
      <c r="DH190">
        <v>2000</v>
      </c>
      <c r="DI190" t="str">
        <v>kosonh</v>
      </c>
      <c r="DJ190">
        <v>7</v>
      </c>
      <c r="DK190">
        <v>6500</v>
      </c>
      <c r="DM190">
        <v>7</v>
      </c>
      <c r="DN190">
        <v>10000</v>
      </c>
      <c r="DP190">
        <v>5</v>
      </c>
      <c r="DQ190">
        <v>12000</v>
      </c>
      <c r="DS190">
        <v>10</v>
      </c>
      <c r="DT190">
        <v>7000</v>
      </c>
      <c r="DV190">
        <v>5</v>
      </c>
      <c r="DW190">
        <v>8000</v>
      </c>
      <c r="DY190">
        <v>3</v>
      </c>
      <c r="DZ190">
        <v>5000</v>
      </c>
      <c r="EB190">
        <v>3</v>
      </c>
      <c r="EC190">
        <v>7000</v>
      </c>
      <c r="EE190">
        <v>6</v>
      </c>
      <c r="EF190">
        <v>13500</v>
      </c>
      <c r="EH190">
        <v>3</v>
      </c>
      <c r="EI190">
        <v>12000</v>
      </c>
      <c r="EK190">
        <v>2</v>
      </c>
      <c r="EL190">
        <v>8000</v>
      </c>
      <c r="EN190">
        <v>5</v>
      </c>
      <c r="EO190">
        <v>13000</v>
      </c>
      <c r="EQ190">
        <v>3</v>
      </c>
      <c r="ES190" t="str">
        <v>kosong</v>
      </c>
    </row>
    <row r="191">
      <c r="A191">
        <v>222</v>
      </c>
      <c r="B191" s="1">
        <v>45314</v>
      </c>
      <c r="C191" t="str">
        <v>0120240049</v>
      </c>
      <c r="D191" t="str">
        <v>Warteg Kharisma Bahari/toko rizal madura</v>
      </c>
      <c r="F191" t="str">
        <v>jl. raya Taman pagelaran deket smk 1 ciomas/ jl bukit asri</v>
      </c>
      <c r="G191" t="str">
        <v>padasuka/pagelaran</v>
      </c>
      <c r="H191" t="str">
        <v>ciomas</v>
      </c>
      <c r="I191" t="str">
        <v>Kab Bogor</v>
      </c>
      <c r="J191" t="str">
        <v>Jawa barat</v>
      </c>
      <c r="K191" t="str">
        <v>0857 21829711/ 087850492225</v>
      </c>
      <c r="L191" t="str">
        <v>Publik</v>
      </c>
      <c r="M191" t="str">
        <v>Firdaus</v>
      </c>
      <c r="N191" t="str">
        <v>non aktif</v>
      </c>
      <c r="CL191">
        <v>3</v>
      </c>
      <c r="CM191">
        <v>3000</v>
      </c>
      <c r="CO191">
        <v>25</v>
      </c>
      <c r="CP191">
        <v>5000</v>
      </c>
      <c r="CQ191" t="str">
        <v>ditarik</v>
      </c>
      <c r="DY191">
        <v>20</v>
      </c>
      <c r="EA191" t="str">
        <v>penempatan</v>
      </c>
      <c r="EB191">
        <v>8</v>
      </c>
      <c r="EC191">
        <v>14000</v>
      </c>
      <c r="EE191">
        <v>8</v>
      </c>
      <c r="EF191">
        <v>23000</v>
      </c>
      <c r="EJ191" t="str">
        <v>ditarik</v>
      </c>
    </row>
    <row r="192">
      <c r="A192">
        <v>100</v>
      </c>
      <c r="B192" s="1">
        <v>45340</v>
      </c>
      <c r="C192" t="str">
        <v>0920220109</v>
      </c>
      <c r="D192" t="str">
        <v>TB Purba Jaya</v>
      </c>
      <c r="F192" t="str">
        <v>Jl. Lingkar Dramaga dekat b wash</v>
      </c>
      <c r="G192" t="str">
        <v xml:space="preserve">Dramaga </v>
      </c>
      <c r="H192" t="str">
        <v xml:space="preserve">Dramaga </v>
      </c>
      <c r="I192" t="str">
        <v>Kab Bogor</v>
      </c>
      <c r="J192" t="str">
        <v>Jawa barat</v>
      </c>
      <c r="L192" t="str">
        <v>Publik</v>
      </c>
      <c r="M192" t="str">
        <v>Firdaus</v>
      </c>
      <c r="N192" t="str">
        <v>aktif</v>
      </c>
      <c r="CI192">
        <v>22</v>
      </c>
      <c r="CJ192">
        <v>5000</v>
      </c>
      <c r="CL192">
        <v>23</v>
      </c>
      <c r="CM192">
        <v>5000</v>
      </c>
      <c r="CO192">
        <v>24</v>
      </c>
      <c r="CP192">
        <v>10000</v>
      </c>
      <c r="CR192">
        <v>15</v>
      </c>
      <c r="CS192">
        <v>5000</v>
      </c>
      <c r="CU192">
        <v>12</v>
      </c>
      <c r="CV192">
        <v>5000</v>
      </c>
      <c r="CX192">
        <v>12</v>
      </c>
      <c r="CY192">
        <v>5000</v>
      </c>
      <c r="DA192">
        <v>21</v>
      </c>
      <c r="DB192">
        <v>5000</v>
      </c>
      <c r="DD192">
        <v>26</v>
      </c>
      <c r="DE192">
        <v>5000</v>
      </c>
      <c r="DG192">
        <v>24</v>
      </c>
      <c r="DH192">
        <v>5000</v>
      </c>
      <c r="DJ192">
        <v>15</v>
      </c>
      <c r="DK192">
        <v>5000</v>
      </c>
      <c r="DM192">
        <v>25</v>
      </c>
      <c r="DN192">
        <v>10000</v>
      </c>
      <c r="DP192">
        <v>21</v>
      </c>
      <c r="DQ192">
        <v>20000</v>
      </c>
      <c r="DS192">
        <v>22</v>
      </c>
      <c r="DT192">
        <v>10000</v>
      </c>
      <c r="DV192">
        <v>19</v>
      </c>
      <c r="DW192">
        <v>5000</v>
      </c>
      <c r="DY192">
        <v>17</v>
      </c>
      <c r="DZ192">
        <v>10000</v>
      </c>
      <c r="EB192">
        <v>11</v>
      </c>
      <c r="EC192">
        <v>10000</v>
      </c>
      <c r="EE192">
        <v>13</v>
      </c>
      <c r="EF192">
        <v>5000</v>
      </c>
      <c r="EH192">
        <v>16</v>
      </c>
      <c r="EI192">
        <v>5000</v>
      </c>
      <c r="EK192">
        <v>17</v>
      </c>
      <c r="EL192">
        <v>5000</v>
      </c>
      <c r="EN192">
        <v>21</v>
      </c>
      <c r="EO192">
        <v>15000</v>
      </c>
    </row>
    <row r="193">
      <c r="A193">
        <v>101</v>
      </c>
      <c r="B193" s="1">
        <v>45340</v>
      </c>
      <c r="D193" t="str">
        <v>warung Bakso Jembar</v>
      </c>
      <c r="F193" t="str">
        <v>Jl Sawah baru</v>
      </c>
      <c r="N193" t="str">
        <v>non aktif</v>
      </c>
      <c r="CI193">
        <v>24</v>
      </c>
      <c r="CJ193">
        <v>3000</v>
      </c>
      <c r="CL193">
        <v>23</v>
      </c>
      <c r="CM193">
        <v>7000</v>
      </c>
      <c r="CO193">
        <v>24</v>
      </c>
      <c r="CP193">
        <v>2000</v>
      </c>
      <c r="CR193">
        <v>4</v>
      </c>
      <c r="CS193">
        <v>28000</v>
      </c>
      <c r="CU193">
        <v>12</v>
      </c>
      <c r="CV193">
        <v>12000</v>
      </c>
      <c r="CX193">
        <v>20</v>
      </c>
      <c r="CY193">
        <v>5000</v>
      </c>
      <c r="DA193">
        <v>21</v>
      </c>
      <c r="DB193">
        <v>5000</v>
      </c>
      <c r="DD193">
        <v>26</v>
      </c>
      <c r="DE193">
        <v>8000</v>
      </c>
      <c r="DG193">
        <v>19</v>
      </c>
      <c r="DH193">
        <v>5000</v>
      </c>
      <c r="DJ193">
        <v>13</v>
      </c>
      <c r="DK193">
        <v>5000</v>
      </c>
      <c r="DM193">
        <v>12</v>
      </c>
      <c r="DN193">
        <v>5000</v>
      </c>
      <c r="DP193">
        <v>11</v>
      </c>
      <c r="DR193" t="str">
        <v>kosong</v>
      </c>
      <c r="DS193">
        <v>14</v>
      </c>
      <c r="DT193">
        <v>6000</v>
      </c>
      <c r="DV193">
        <v>6</v>
      </c>
      <c r="DW193">
        <v>5000</v>
      </c>
      <c r="DY193">
        <v>4</v>
      </c>
      <c r="DZ193">
        <v>4000</v>
      </c>
      <c r="EB193">
        <v>10</v>
      </c>
      <c r="ED193" t="str">
        <v>kosong</v>
      </c>
      <c r="EJ193" t="str">
        <v>kosong</v>
      </c>
      <c r="EM193" t="str">
        <v>tutup-ditarik</v>
      </c>
    </row>
    <row r="194">
      <c r="A194">
        <v>102</v>
      </c>
      <c r="B194" s="1">
        <v>45340</v>
      </c>
      <c r="D194" t="str">
        <v>Warung Mamoka Bahari 2 / RM Cahaya Minang</v>
      </c>
      <c r="F194" t="str">
        <v xml:space="preserve">Jl Ishak Juarsa </v>
      </c>
      <c r="G194" t="str">
        <v>Gunung Batu</v>
      </c>
      <c r="H194" t="str">
        <v>Bogor Barat</v>
      </c>
      <c r="I194" t="str">
        <v>Kab Bogor</v>
      </c>
      <c r="J194" t="str">
        <v>Jawa barat</v>
      </c>
      <c r="K194" t="str">
        <v>0821 24800696</v>
      </c>
      <c r="L194" t="str">
        <v>Publik</v>
      </c>
      <c r="M194" t="str">
        <v>Firdaus</v>
      </c>
      <c r="N194" t="str">
        <v>non aktif</v>
      </c>
      <c r="CI194">
        <v>26</v>
      </c>
      <c r="CJ194">
        <v>35000</v>
      </c>
      <c r="CL194">
        <v>15</v>
      </c>
      <c r="CM194">
        <v>8500</v>
      </c>
      <c r="CO194">
        <v>27</v>
      </c>
      <c r="CP194">
        <v>2000</v>
      </c>
      <c r="CR194">
        <v>10</v>
      </c>
      <c r="CS194">
        <v>12000</v>
      </c>
      <c r="DC194" t="str">
        <v>kosong</v>
      </c>
      <c r="DD194">
        <v>6</v>
      </c>
      <c r="DE194">
        <v>5000</v>
      </c>
      <c r="DU194" t="str">
        <v>kosong</v>
      </c>
      <c r="EA194" t="str">
        <v>kosong</v>
      </c>
      <c r="EE194">
        <v>5</v>
      </c>
      <c r="EF194">
        <v>7000</v>
      </c>
      <c r="EJ194" t="str">
        <v>kosong</v>
      </c>
      <c r="EM194" t="str">
        <v>kosong- ditarik</v>
      </c>
      <c r="EP194" t="str">
        <v>ditarik</v>
      </c>
    </row>
    <row r="195">
      <c r="A195">
        <v>103</v>
      </c>
      <c r="B195" s="1">
        <v>45440</v>
      </c>
      <c r="D195" t="str">
        <v>Cafe Saras</v>
      </c>
      <c r="F195" t="str">
        <v>Jl. raya Dramaga samping Bulog Dramaga</v>
      </c>
      <c r="G195" t="str">
        <v xml:space="preserve">Dramaga </v>
      </c>
      <c r="H195" t="str">
        <v xml:space="preserve">Dramaga </v>
      </c>
      <c r="I195" t="str">
        <v>Kab Bogor</v>
      </c>
      <c r="J195" t="str">
        <v>Jawa barat</v>
      </c>
      <c r="L195" t="str">
        <v>Publik</v>
      </c>
      <c r="M195" t="str">
        <v>Firdaus</v>
      </c>
      <c r="N195" t="str">
        <v>non aktif</v>
      </c>
      <c r="CQ195" t="str">
        <v>kosong</v>
      </c>
      <c r="CR195">
        <v>11</v>
      </c>
      <c r="CS195">
        <v>13000</v>
      </c>
      <c r="CU195">
        <v>7</v>
      </c>
      <c r="CV195">
        <v>4000</v>
      </c>
      <c r="CX195">
        <v>10</v>
      </c>
      <c r="CY195">
        <v>7000</v>
      </c>
      <c r="DA195">
        <v>10</v>
      </c>
      <c r="DB195">
        <v>11000</v>
      </c>
      <c r="DD195">
        <v>8</v>
      </c>
      <c r="DE195">
        <v>24000</v>
      </c>
      <c r="DG195">
        <v>6</v>
      </c>
      <c r="DH195">
        <v>14500</v>
      </c>
      <c r="DJ195">
        <v>11</v>
      </c>
      <c r="DL195" t="str">
        <v>kosong</v>
      </c>
      <c r="DM195">
        <v>10</v>
      </c>
      <c r="DN195">
        <v>3000</v>
      </c>
      <c r="DP195">
        <v>11</v>
      </c>
      <c r="DQ195">
        <v>8000</v>
      </c>
      <c r="DS195">
        <v>22</v>
      </c>
      <c r="DT195">
        <v>25000</v>
      </c>
      <c r="DV195">
        <v>9</v>
      </c>
      <c r="DW195">
        <v>10000</v>
      </c>
      <c r="DY195">
        <v>11</v>
      </c>
      <c r="DZ195">
        <v>17000</v>
      </c>
      <c r="EB195">
        <v>8</v>
      </c>
      <c r="ED195" t="str">
        <v>kosong</v>
      </c>
      <c r="EE195">
        <v>13</v>
      </c>
      <c r="EF195">
        <v>36000</v>
      </c>
      <c r="EH195">
        <v>11</v>
      </c>
      <c r="EI195">
        <v>8000</v>
      </c>
      <c r="EM195" t="str">
        <v>bangkrut</v>
      </c>
    </row>
    <row r="196">
      <c r="A196">
        <v>104</v>
      </c>
      <c r="B196" s="1">
        <v>45440</v>
      </c>
      <c r="D196" t="str">
        <v>D' Bro Chiken / Toko Ama Food</v>
      </c>
      <c r="F196" t="str">
        <v>Jl. Kompek Kartika</v>
      </c>
      <c r="G196" t="str">
        <v>Ciherang</v>
      </c>
      <c r="H196" t="str">
        <v xml:space="preserve">Dramaga </v>
      </c>
      <c r="I196" t="str">
        <v>Kab Bogor</v>
      </c>
      <c r="J196" t="str">
        <v>Jawa barat</v>
      </c>
      <c r="L196" t="str">
        <v>Publik</v>
      </c>
      <c r="M196" t="str">
        <v>Firdaus</v>
      </c>
      <c r="N196" t="str">
        <v>aktif</v>
      </c>
      <c r="CO196">
        <v>4</v>
      </c>
      <c r="CP196">
        <v>3000</v>
      </c>
      <c r="DC196" t="str">
        <v>kosong</v>
      </c>
      <c r="DG196">
        <v>11</v>
      </c>
      <c r="DI196" t="str">
        <v>ditarik</v>
      </c>
      <c r="DJ196">
        <v>11</v>
      </c>
      <c r="DL196" t="str">
        <v>kosong</v>
      </c>
      <c r="DM196">
        <v>18</v>
      </c>
      <c r="DN196">
        <v>78000</v>
      </c>
      <c r="DP196">
        <v>5</v>
      </c>
      <c r="DQ196">
        <v>64000</v>
      </c>
      <c r="DS196">
        <v>10</v>
      </c>
      <c r="DT196">
        <v>46000</v>
      </c>
      <c r="DV196">
        <v>6</v>
      </c>
      <c r="DW196">
        <v>10000</v>
      </c>
      <c r="DY196">
        <v>5</v>
      </c>
      <c r="EA196" t="str">
        <v>kosong</v>
      </c>
      <c r="EB196">
        <v>7</v>
      </c>
      <c r="EC196">
        <v>191000</v>
      </c>
      <c r="EE196">
        <v>6</v>
      </c>
      <c r="EF196">
        <v>127000</v>
      </c>
      <c r="EH196">
        <v>3</v>
      </c>
      <c r="EI196">
        <v>119000</v>
      </c>
      <c r="EK196">
        <v>3</v>
      </c>
      <c r="EL196">
        <v>120000</v>
      </c>
      <c r="EN196">
        <v>5</v>
      </c>
      <c r="EO196">
        <v>115000</v>
      </c>
      <c r="EQ196">
        <v>4</v>
      </c>
      <c r="ER196">
        <v>95000</v>
      </c>
    </row>
    <row r="197">
      <c r="A197">
        <v>105</v>
      </c>
      <c r="B197" s="1">
        <v>45299</v>
      </c>
      <c r="C197" t="str">
        <v>0120240002</v>
      </c>
      <c r="D197" t="str">
        <v>The Vos Bakery</v>
      </c>
      <c r="F197" t="str">
        <v>Jl. Aria Surialaga</v>
      </c>
      <c r="G197" t="str">
        <v>Pasir Kuda</v>
      </c>
      <c r="H197" t="str">
        <v>Bogor Barat</v>
      </c>
      <c r="I197" t="str">
        <v>Kota Bogor</v>
      </c>
      <c r="J197" t="str">
        <v>Jawa barat</v>
      </c>
      <c r="L197" t="str">
        <v>Publik</v>
      </c>
      <c r="M197" t="str">
        <v>Firdaus</v>
      </c>
      <c r="N197" t="str">
        <v>aktif</v>
      </c>
      <c r="BB197">
        <v>11</v>
      </c>
      <c r="BD197" t="str">
        <v>penempatan</v>
      </c>
      <c r="CO197">
        <v>19</v>
      </c>
      <c r="CP197">
        <v>20000</v>
      </c>
      <c r="CR197">
        <v>16</v>
      </c>
      <c r="CS197">
        <v>7000</v>
      </c>
      <c r="CU197">
        <v>16</v>
      </c>
      <c r="CV197">
        <v>17000</v>
      </c>
      <c r="CX197">
        <v>17</v>
      </c>
      <c r="CY197">
        <v>20000</v>
      </c>
      <c r="DA197">
        <v>17</v>
      </c>
      <c r="DB197">
        <v>55000</v>
      </c>
      <c r="DG197">
        <v>16</v>
      </c>
      <c r="DH197">
        <v>52000</v>
      </c>
      <c r="DJ197">
        <v>11</v>
      </c>
      <c r="DL197" t="str">
        <v>kosong</v>
      </c>
      <c r="DM197">
        <v>14</v>
      </c>
      <c r="DN197">
        <v>60000</v>
      </c>
      <c r="DP197">
        <v>12</v>
      </c>
      <c r="DQ197">
        <v>71000</v>
      </c>
      <c r="DS197">
        <v>15</v>
      </c>
      <c r="DT197">
        <v>52000</v>
      </c>
      <c r="DV197">
        <v>14</v>
      </c>
      <c r="DW197">
        <v>84000</v>
      </c>
      <c r="EA197" t="str">
        <v>kosong</v>
      </c>
      <c r="EB197">
        <v>18</v>
      </c>
      <c r="ED197" t="str">
        <v>kosong</v>
      </c>
      <c r="EE197">
        <v>15</v>
      </c>
      <c r="EF197">
        <v>72000</v>
      </c>
      <c r="EH197">
        <v>15</v>
      </c>
      <c r="EI197">
        <v>17000</v>
      </c>
      <c r="EK197">
        <v>15</v>
      </c>
      <c r="EL197">
        <v>21000</v>
      </c>
      <c r="EN197">
        <v>13</v>
      </c>
      <c r="EO197">
        <v>4500</v>
      </c>
    </row>
    <row r="198">
      <c r="A198">
        <v>106</v>
      </c>
      <c r="C198" t="str">
        <v>0120240003</v>
      </c>
      <c r="D198" t="str">
        <v>Warteg Bu Merry</v>
      </c>
      <c r="F198" t="str">
        <v xml:space="preserve">Jl.Ciomas Raya </v>
      </c>
      <c r="G198" t="str">
        <v>Sukamulya</v>
      </c>
      <c r="H198" t="str">
        <v>Ciomas</v>
      </c>
      <c r="I198" t="str">
        <v>Kab Bogor</v>
      </c>
      <c r="J198" t="str">
        <v>Jawa barat</v>
      </c>
      <c r="L198" t="str">
        <v>Publik</v>
      </c>
      <c r="M198" t="str">
        <v>Firdaus</v>
      </c>
      <c r="N198" t="str">
        <v>aktif</v>
      </c>
      <c r="CO198">
        <v>26</v>
      </c>
      <c r="CP198">
        <v>2000</v>
      </c>
      <c r="CU198">
        <v>21</v>
      </c>
      <c r="CV198">
        <v>8000</v>
      </c>
      <c r="CX198">
        <v>24</v>
      </c>
      <c r="CY198">
        <v>7000</v>
      </c>
      <c r="DC198" t="str">
        <v>kosong</v>
      </c>
      <c r="DD198">
        <v>25</v>
      </c>
      <c r="DE198">
        <v>5500</v>
      </c>
      <c r="DG198">
        <v>20</v>
      </c>
      <c r="DH198">
        <v>2000</v>
      </c>
      <c r="DJ198">
        <v>20</v>
      </c>
      <c r="DK198">
        <v>15000</v>
      </c>
      <c r="DM198">
        <v>13</v>
      </c>
      <c r="DN198">
        <v>26000</v>
      </c>
      <c r="DP198">
        <v>10</v>
      </c>
      <c r="DQ198">
        <v>7000</v>
      </c>
      <c r="DS198">
        <v>10</v>
      </c>
      <c r="DT198">
        <v>15000</v>
      </c>
      <c r="DV198">
        <v>5</v>
      </c>
      <c r="DW198">
        <v>3000</v>
      </c>
      <c r="DY198">
        <v>3</v>
      </c>
      <c r="DZ198">
        <v>24000</v>
      </c>
      <c r="EB198">
        <v>1</v>
      </c>
      <c r="EC198">
        <v>20000</v>
      </c>
      <c r="EE198">
        <v>1</v>
      </c>
      <c r="EF198">
        <v>16500</v>
      </c>
      <c r="EH198">
        <v>1</v>
      </c>
      <c r="EI198">
        <v>7000</v>
      </c>
      <c r="EK198">
        <v>30</v>
      </c>
      <c r="EL198">
        <v>13000</v>
      </c>
      <c r="EN198">
        <v>3</v>
      </c>
      <c r="EO198">
        <v>70000</v>
      </c>
      <c r="EQ198">
        <v>1</v>
      </c>
      <c r="ER198">
        <v>17000</v>
      </c>
    </row>
    <row r="199">
      <c r="A199">
        <v>129</v>
      </c>
      <c r="B199" t="str">
        <v xml:space="preserve">3 juni 2024  </v>
      </c>
      <c r="C199" t="str">
        <v>0120240004</v>
      </c>
      <c r="D199" t="str">
        <v>Toko Harumi /Kelontong Madura halimah 8</v>
      </c>
      <c r="F199" t="str">
        <v>jl. Pasir Kuda seberang pom bensin</v>
      </c>
      <c r="G199" t="str">
        <v>Pasir Kuda</v>
      </c>
      <c r="H199" t="str">
        <v>Bogor Barat</v>
      </c>
      <c r="I199" t="str">
        <v>Kota Bogor</v>
      </c>
      <c r="J199" t="str">
        <v>Jawa barat</v>
      </c>
      <c r="K199">
        <v>8229723100</v>
      </c>
      <c r="L199" t="str">
        <v>Publik</v>
      </c>
      <c r="M199" t="str">
        <v>Firdaus</v>
      </c>
      <c r="N199" t="str">
        <v>non aktif</v>
      </c>
      <c r="CQ199" t="str">
        <v>kosong</v>
      </c>
      <c r="CU199">
        <v>7</v>
      </c>
      <c r="CV199">
        <v>10000</v>
      </c>
      <c r="CX199">
        <v>13</v>
      </c>
      <c r="CY199">
        <v>21000</v>
      </c>
      <c r="DA199">
        <v>2</v>
      </c>
      <c r="DB199">
        <v>27000</v>
      </c>
      <c r="DJ199">
        <v>20</v>
      </c>
      <c r="DK199">
        <v>14500</v>
      </c>
      <c r="DP199">
        <v>10</v>
      </c>
      <c r="DR199" t="str">
        <v>ditarik</v>
      </c>
    </row>
    <row r="200">
      <c r="A200">
        <v>107</v>
      </c>
      <c r="B200" t="str">
        <v>3 juni 2024</v>
      </c>
      <c r="C200" t="str">
        <v>0120240005</v>
      </c>
      <c r="D200" t="str">
        <v xml:space="preserve">Toko Serdang Jaya </v>
      </c>
      <c r="F200" t="str">
        <v>Jl Ciomas Raya /Jembatan</v>
      </c>
      <c r="G200" t="str">
        <v>Sukamulya</v>
      </c>
      <c r="H200" t="str">
        <v>Ciomas</v>
      </c>
      <c r="I200" t="str">
        <v>Kab Bogor</v>
      </c>
      <c r="J200" t="str">
        <v>Jawa barat</v>
      </c>
      <c r="K200">
        <v>85893738617</v>
      </c>
      <c r="L200" t="str">
        <v>Publik</v>
      </c>
      <c r="M200" t="str">
        <v>Firdaus</v>
      </c>
      <c r="N200" t="str">
        <v>aktif</v>
      </c>
      <c r="CO200">
        <v>27</v>
      </c>
      <c r="CP200">
        <v>17000</v>
      </c>
      <c r="CR200">
        <v>23</v>
      </c>
      <c r="CS200">
        <v>5000</v>
      </c>
      <c r="CU200">
        <v>23</v>
      </c>
      <c r="CV200">
        <v>18000</v>
      </c>
      <c r="CX200">
        <v>24</v>
      </c>
      <c r="CY200">
        <v>5500</v>
      </c>
      <c r="DC200" t="str">
        <v>kosong</v>
      </c>
      <c r="DG200" t="str">
        <v>28    23</v>
      </c>
      <c r="DH200">
        <f>6000+2500</f>
        <v>8500</v>
      </c>
      <c r="DJ200">
        <v>20</v>
      </c>
      <c r="DK200">
        <v>22000</v>
      </c>
      <c r="DM200">
        <v>19</v>
      </c>
      <c r="DN200">
        <v>14000</v>
      </c>
      <c r="DP200">
        <v>20</v>
      </c>
      <c r="DQ200">
        <v>12500</v>
      </c>
      <c r="DS200">
        <v>24</v>
      </c>
      <c r="DT200">
        <v>3000</v>
      </c>
      <c r="DV200">
        <v>21</v>
      </c>
      <c r="DW200">
        <v>15000</v>
      </c>
      <c r="DY200">
        <v>18</v>
      </c>
      <c r="DZ200">
        <v>13000</v>
      </c>
      <c r="EB200">
        <v>17</v>
      </c>
      <c r="EC200">
        <v>24000</v>
      </c>
      <c r="EE200">
        <v>14</v>
      </c>
      <c r="EF200">
        <v>20500</v>
      </c>
      <c r="EH200">
        <v>15</v>
      </c>
      <c r="EI200">
        <v>12000</v>
      </c>
      <c r="EK200">
        <v>15</v>
      </c>
      <c r="EL200">
        <v>16000</v>
      </c>
      <c r="EN200">
        <v>13</v>
      </c>
      <c r="EO200">
        <v>5000</v>
      </c>
    </row>
    <row r="201">
      <c r="A201">
        <v>108</v>
      </c>
      <c r="B201" t="str">
        <v>3 juni 2024</v>
      </c>
      <c r="C201" t="str">
        <v>0120240006</v>
      </c>
      <c r="D201" t="str">
        <v>Toko Assabil</v>
      </c>
      <c r="F201" t="str">
        <v>Jl Pintu ledeng</v>
      </c>
      <c r="G201" t="str">
        <v>Ciomas</v>
      </c>
      <c r="H201" t="str">
        <v>Ciomas</v>
      </c>
      <c r="I201" t="str">
        <v>Kab Bogor</v>
      </c>
      <c r="J201" t="str">
        <v>Jawa barat</v>
      </c>
      <c r="K201">
        <v>87720312803</v>
      </c>
      <c r="L201" t="str">
        <v>Publik</v>
      </c>
      <c r="M201" t="str">
        <v>Firdaus</v>
      </c>
      <c r="N201" t="str">
        <v>aktif</v>
      </c>
      <c r="CO201">
        <v>27</v>
      </c>
      <c r="CP201">
        <v>21000</v>
      </c>
      <c r="CR201">
        <v>25</v>
      </c>
      <c r="CS201">
        <v>27000</v>
      </c>
      <c r="CX201">
        <v>26</v>
      </c>
      <c r="CY201">
        <v>5500</v>
      </c>
      <c r="DG201" t="str">
        <v>28    23</v>
      </c>
      <c r="DH201">
        <f>10000+2000</f>
        <v>12000</v>
      </c>
      <c r="DJ201">
        <v>20</v>
      </c>
      <c r="DK201">
        <v>12000</v>
      </c>
      <c r="DM201">
        <v>25</v>
      </c>
      <c r="DN201">
        <v>10000</v>
      </c>
      <c r="DP201">
        <v>20</v>
      </c>
      <c r="DQ201">
        <v>20500</v>
      </c>
      <c r="DU201" t="str">
        <v>kosong</v>
      </c>
      <c r="DV201">
        <v>21</v>
      </c>
      <c r="DW201">
        <v>13000</v>
      </c>
      <c r="DY201">
        <v>23</v>
      </c>
      <c r="DZ201">
        <v>10000</v>
      </c>
      <c r="EB201">
        <v>25</v>
      </c>
      <c r="EC201">
        <v>5000</v>
      </c>
      <c r="EH201" t="str">
        <v>26  18</v>
      </c>
      <c r="EI201">
        <f>17000+21000</f>
        <v>38000</v>
      </c>
      <c r="EK201">
        <v>22</v>
      </c>
      <c r="EL201">
        <v>15000</v>
      </c>
      <c r="EN201">
        <v>24</v>
      </c>
      <c r="EO201">
        <v>5000</v>
      </c>
    </row>
    <row r="202">
      <c r="A202">
        <v>109</v>
      </c>
      <c r="B202" t="str">
        <v>3 juni 2024</v>
      </c>
      <c r="C202" t="str">
        <v>0120240007</v>
      </c>
      <c r="D202" t="str">
        <v>Toko Ikmal  putra</v>
      </c>
      <c r="F202" t="str">
        <v>Jl Bukit Asri Ciomas</v>
      </c>
      <c r="G202" t="str">
        <v>Pagelaran</v>
      </c>
      <c r="H202" t="str">
        <v>Ciomas</v>
      </c>
      <c r="I202" t="str">
        <v>Kab Bogor</v>
      </c>
      <c r="J202" t="str">
        <v>Jawa barat</v>
      </c>
      <c r="K202">
        <v>895418196641</v>
      </c>
      <c r="L202" t="str">
        <v>Publik</v>
      </c>
      <c r="M202" t="str">
        <v>Firdaus</v>
      </c>
      <c r="N202" t="str">
        <v>aktif</v>
      </c>
      <c r="CQ202" t="str">
        <v>kosong</v>
      </c>
      <c r="CR202">
        <v>24</v>
      </c>
      <c r="CS202" t="str">
        <v>24ooo</v>
      </c>
      <c r="CU202">
        <v>14</v>
      </c>
      <c r="CV202">
        <v>9000</v>
      </c>
      <c r="CX202" t="str">
        <v>26 20</v>
      </c>
      <c r="CY202">
        <v>18000</v>
      </c>
      <c r="DC202" t="str">
        <v>kosong</v>
      </c>
      <c r="DD202">
        <v>18</v>
      </c>
      <c r="DE202">
        <v>10000</v>
      </c>
      <c r="DG202">
        <v>11</v>
      </c>
      <c r="DH202">
        <v>17000</v>
      </c>
      <c r="DJ202">
        <v>13</v>
      </c>
      <c r="DK202">
        <v>10000</v>
      </c>
      <c r="DM202">
        <v>18</v>
      </c>
      <c r="DN202">
        <v>19000</v>
      </c>
      <c r="DP202">
        <v>18</v>
      </c>
      <c r="DQ202">
        <v>7000</v>
      </c>
      <c r="DS202">
        <v>24</v>
      </c>
      <c r="DT202">
        <v>62000</v>
      </c>
      <c r="DV202">
        <v>20</v>
      </c>
      <c r="DW202">
        <v>50000</v>
      </c>
      <c r="DY202">
        <v>12</v>
      </c>
      <c r="DZ202">
        <v>10000</v>
      </c>
      <c r="EB202">
        <v>8</v>
      </c>
      <c r="EC202">
        <v>8500</v>
      </c>
      <c r="EE202">
        <v>8</v>
      </c>
      <c r="EG202" t="str">
        <v>kosong</v>
      </c>
      <c r="EH202">
        <v>16</v>
      </c>
      <c r="EJ202" t="str">
        <v>kosong</v>
      </c>
      <c r="EK202">
        <v>16</v>
      </c>
      <c r="EL202">
        <v>5000</v>
      </c>
      <c r="EN202">
        <v>12</v>
      </c>
      <c r="EO202">
        <v>5000</v>
      </c>
    </row>
    <row r="203">
      <c r="A203">
        <v>132</v>
      </c>
      <c r="B203" t="str">
        <v>18/12/24</v>
      </c>
      <c r="C203" t="str">
        <v>0120240008</v>
      </c>
      <c r="D203" t="str">
        <v>Toko Bombay / Toko kelontong Halimah</v>
      </c>
      <c r="F203" t="str">
        <v>jl. Pasir Kuda seberang pom bensin</v>
      </c>
      <c r="G203" t="str">
        <v>Pasir Kuda</v>
      </c>
      <c r="H203" t="str">
        <v>Bogor Barat</v>
      </c>
      <c r="I203" t="str">
        <v>Kota Bogor</v>
      </c>
      <c r="J203" t="str">
        <v>Jawa barat</v>
      </c>
      <c r="K203" t="str">
        <v>0822 14179415</v>
      </c>
      <c r="L203" t="str">
        <v>Publik</v>
      </c>
      <c r="M203" t="str">
        <v>Firdaus</v>
      </c>
      <c r="N203" t="str">
        <v>non aktif</v>
      </c>
      <c r="CU203">
        <v>5</v>
      </c>
      <c r="CW203" t="str">
        <v>kosong</v>
      </c>
    </row>
    <row r="204">
      <c r="A204">
        <v>110</v>
      </c>
      <c r="B204" t="str">
        <v>3 juni 2024</v>
      </c>
      <c r="C204" t="str">
        <v>0120240009</v>
      </c>
      <c r="D204" t="str">
        <v>Bapak Benanda / dedeh</v>
      </c>
      <c r="F204" t="str">
        <v xml:space="preserve">Jl.Parakan Asri A5 </v>
      </c>
      <c r="G204" t="str">
        <v>Parakan</v>
      </c>
      <c r="H204" t="str">
        <v>Ciomas</v>
      </c>
      <c r="I204" t="str">
        <v>Kab Bogor</v>
      </c>
      <c r="J204" t="str">
        <v>Jawa barat</v>
      </c>
      <c r="K204" t="str">
        <v>081299440262/089688138283</v>
      </c>
      <c r="M204" t="str">
        <v>Firdaus</v>
      </c>
      <c r="N204" t="str">
        <v>aktif</v>
      </c>
      <c r="CU204">
        <v>7</v>
      </c>
      <c r="CV204">
        <v>72000</v>
      </c>
      <c r="CX204">
        <v>9</v>
      </c>
      <c r="CY204">
        <v>150000</v>
      </c>
      <c r="DA204">
        <v>9</v>
      </c>
      <c r="DB204">
        <v>150000</v>
      </c>
      <c r="DD204">
        <v>14</v>
      </c>
      <c r="DE204">
        <v>100000</v>
      </c>
      <c r="DG204">
        <v>18</v>
      </c>
      <c r="DI204" t="str">
        <v>kosong</v>
      </c>
      <c r="DJ204">
        <v>11</v>
      </c>
      <c r="DL204" t="str">
        <v>kosong</v>
      </c>
      <c r="DR204" t="str">
        <v>kosong</v>
      </c>
      <c r="DU204" t="str">
        <v>kosong</v>
      </c>
      <c r="DV204">
        <v>19</v>
      </c>
      <c r="DW204">
        <v>105000</v>
      </c>
      <c r="EA204" t="str">
        <v>kosong</v>
      </c>
      <c r="EH204">
        <v>11</v>
      </c>
      <c r="EI204">
        <v>50000</v>
      </c>
      <c r="EQ204">
        <v>8</v>
      </c>
      <c r="ER204">
        <v>50000</v>
      </c>
    </row>
    <row r="205">
      <c r="A205">
        <v>111</v>
      </c>
      <c r="B205" s="1">
        <v>45476</v>
      </c>
      <c r="D205" t="str">
        <v>Warung gado gado bu Heni</v>
      </c>
      <c r="F205" t="str">
        <v>jl. Pasir Mulya samping soto bang jek</v>
      </c>
      <c r="G205" t="str">
        <v>pasir mulya</v>
      </c>
      <c r="H205" t="str">
        <v>Bogor Barat</v>
      </c>
      <c r="I205" t="str">
        <v>Kota Bogor</v>
      </c>
      <c r="J205" t="str">
        <v>Jawa barat</v>
      </c>
      <c r="K205" t="str">
        <v>0813 11808909</v>
      </c>
      <c r="L205" t="str">
        <v>Publik</v>
      </c>
      <c r="M205" t="str">
        <v>Firdaus</v>
      </c>
      <c r="N205" t="str">
        <v>aktif</v>
      </c>
      <c r="DA205">
        <v>2</v>
      </c>
      <c r="DB205">
        <v>12000</v>
      </c>
      <c r="DD205">
        <v>6</v>
      </c>
      <c r="DE205">
        <v>7000</v>
      </c>
      <c r="DG205">
        <v>4</v>
      </c>
      <c r="DH205">
        <v>26000</v>
      </c>
      <c r="DJ205">
        <v>6</v>
      </c>
      <c r="DK205">
        <v>13000</v>
      </c>
      <c r="DR205" t="str">
        <v>kosong</v>
      </c>
      <c r="DS205">
        <v>22</v>
      </c>
      <c r="DT205">
        <v>18000</v>
      </c>
      <c r="DV205">
        <v>9</v>
      </c>
      <c r="DW205">
        <v>2000</v>
      </c>
      <c r="DY205">
        <v>3</v>
      </c>
      <c r="DZ205">
        <v>4000</v>
      </c>
      <c r="EE205">
        <v>1</v>
      </c>
      <c r="EF205">
        <v>6000</v>
      </c>
    </row>
    <row r="206">
      <c r="A206">
        <v>135</v>
      </c>
      <c r="B206" s="1">
        <v>45476</v>
      </c>
      <c r="D206" t="str">
        <v>toko kawan cuci laundry</v>
      </c>
      <c r="F206" t="str">
        <v>jl. bukit cimanggu city</v>
      </c>
      <c r="G206" t="str">
        <v>cimanggu</v>
      </c>
      <c r="H206" t="str">
        <v>tanah sareal</v>
      </c>
      <c r="I206" t="str">
        <v>Kota Bogor</v>
      </c>
      <c r="J206" t="str">
        <v>Jawa barat</v>
      </c>
      <c r="K206">
        <v>89699278725</v>
      </c>
      <c r="L206" t="str">
        <v>Publik</v>
      </c>
      <c r="M206" t="str">
        <v>Firdaus</v>
      </c>
      <c r="N206" t="str">
        <v>non aktif</v>
      </c>
      <c r="CW206" t="str">
        <v>kosong</v>
      </c>
      <c r="CX206">
        <v>17</v>
      </c>
      <c r="CY206">
        <v>7000</v>
      </c>
      <c r="DC206" t="str">
        <v>kosong</v>
      </c>
      <c r="DD206">
        <v>14</v>
      </c>
      <c r="DE206">
        <v>24000</v>
      </c>
      <c r="DG206">
        <v>13</v>
      </c>
      <c r="DH206">
        <v>15000</v>
      </c>
      <c r="DJ206">
        <v>11</v>
      </c>
      <c r="DL206" t="str">
        <v>kosong</v>
      </c>
      <c r="DM206">
        <v>13</v>
      </c>
      <c r="DN206">
        <v>2500</v>
      </c>
      <c r="DP206">
        <v>17</v>
      </c>
      <c r="DQ206">
        <v>2000</v>
      </c>
      <c r="DS206">
        <v>16</v>
      </c>
      <c r="DT206">
        <v>3000</v>
      </c>
      <c r="DY206">
        <v>5</v>
      </c>
      <c r="EA206" t="str">
        <v>ditarik</v>
      </c>
    </row>
    <row r="207">
      <c r="A207">
        <v>112</v>
      </c>
      <c r="B207" t="str">
        <v>8  Juli 2024</v>
      </c>
      <c r="C207" t="str">
        <v>0120240010</v>
      </c>
      <c r="D207" t="str">
        <v>Ibu Nursiah</v>
      </c>
      <c r="F207" t="str">
        <v xml:space="preserve">Jl Bukit Cimanggu city Blok S5 no.29 </v>
      </c>
      <c r="H207" t="str">
        <v>Bogor Barat</v>
      </c>
      <c r="I207" t="str">
        <v>Kota Bogor</v>
      </c>
      <c r="J207" t="str">
        <v>Jawa barat</v>
      </c>
      <c r="K207">
        <v>81282383358</v>
      </c>
      <c r="L207" t="str">
        <v>home</v>
      </c>
      <c r="M207" t="str">
        <v>Firdaus</v>
      </c>
      <c r="N207" t="str">
        <v>aktif</v>
      </c>
      <c r="CU207">
        <v>14</v>
      </c>
      <c r="CV207">
        <v>111000</v>
      </c>
      <c r="CX207">
        <v>17</v>
      </c>
      <c r="CY207">
        <v>104000</v>
      </c>
      <c r="DA207">
        <v>16</v>
      </c>
      <c r="DB207">
        <v>155000</v>
      </c>
      <c r="DD207">
        <v>14</v>
      </c>
      <c r="DE207">
        <v>170000</v>
      </c>
      <c r="DG207">
        <v>13</v>
      </c>
      <c r="DH207">
        <v>212000</v>
      </c>
      <c r="DJ207">
        <v>13</v>
      </c>
      <c r="DK207">
        <v>219000</v>
      </c>
      <c r="DM207">
        <v>13</v>
      </c>
      <c r="DN207">
        <v>177000</v>
      </c>
      <c r="DP207">
        <v>17</v>
      </c>
      <c r="DQ207">
        <v>145000</v>
      </c>
      <c r="DS207">
        <v>16</v>
      </c>
      <c r="DT207">
        <v>172500</v>
      </c>
      <c r="DV207">
        <v>8</v>
      </c>
      <c r="DW207">
        <v>141000</v>
      </c>
      <c r="DY207">
        <v>4</v>
      </c>
      <c r="DZ207">
        <v>213000</v>
      </c>
      <c r="EB207">
        <v>3</v>
      </c>
      <c r="EC207">
        <v>177000</v>
      </c>
      <c r="EE207">
        <v>4</v>
      </c>
      <c r="EF207">
        <v>266000</v>
      </c>
      <c r="EH207">
        <v>1</v>
      </c>
      <c r="EI207">
        <v>181000</v>
      </c>
      <c r="EK207">
        <v>1</v>
      </c>
      <c r="EL207">
        <v>205000</v>
      </c>
      <c r="EN207">
        <v>3</v>
      </c>
      <c r="EO207">
        <v>178000</v>
      </c>
      <c r="EQ207">
        <v>1</v>
      </c>
      <c r="ER207">
        <v>193000</v>
      </c>
    </row>
    <row r="208">
      <c r="A208">
        <v>113</v>
      </c>
      <c r="B208" t="str">
        <v>8  Juli 2024</v>
      </c>
      <c r="D208" t="str">
        <v>Warung Sayur Nauli 2 Arradea</v>
      </c>
      <c r="F208" t="str">
        <v>Arradea</v>
      </c>
      <c r="G208" t="str">
        <v>ciherang</v>
      </c>
      <c r="H208" t="str">
        <v xml:space="preserve">Dramaga </v>
      </c>
      <c r="I208" t="str">
        <v>Kab Bogor</v>
      </c>
      <c r="J208" t="str">
        <v>Jawa barat</v>
      </c>
      <c r="L208" t="str">
        <v>Publik</v>
      </c>
      <c r="M208" t="str">
        <v>Firdaus</v>
      </c>
      <c r="N208" t="str">
        <v>aktif</v>
      </c>
      <c r="CR208">
        <v>12</v>
      </c>
      <c r="CS208">
        <v>7500</v>
      </c>
      <c r="CU208">
        <v>13</v>
      </c>
      <c r="CV208">
        <v>5000</v>
      </c>
      <c r="DA208">
        <v>17</v>
      </c>
      <c r="DB208">
        <v>8000</v>
      </c>
      <c r="DD208">
        <v>19</v>
      </c>
      <c r="DE208">
        <v>6000</v>
      </c>
      <c r="DG208">
        <v>16</v>
      </c>
      <c r="DH208">
        <v>5000</v>
      </c>
      <c r="DJ208">
        <v>15</v>
      </c>
      <c r="DK208">
        <v>8000</v>
      </c>
      <c r="DM208">
        <v>12</v>
      </c>
      <c r="DO208" t="str">
        <v>kosong</v>
      </c>
      <c r="DP208">
        <v>7</v>
      </c>
      <c r="DQ208">
        <v>7000</v>
      </c>
      <c r="DS208">
        <v>14</v>
      </c>
      <c r="DT208">
        <v>3000</v>
      </c>
      <c r="DY208">
        <v>20</v>
      </c>
      <c r="EA208" t="str">
        <v>kosong</v>
      </c>
      <c r="EB208">
        <v>14</v>
      </c>
      <c r="EC208">
        <v>2000</v>
      </c>
      <c r="EH208">
        <v>18</v>
      </c>
      <c r="EI208">
        <v>18500</v>
      </c>
      <c r="EK208">
        <v>8</v>
      </c>
      <c r="EL208">
        <v>5000</v>
      </c>
      <c r="EN208">
        <v>7</v>
      </c>
      <c r="EO208">
        <v>10000</v>
      </c>
      <c r="EQ208">
        <v>9</v>
      </c>
      <c r="ES208" t="str">
        <v>kosong</v>
      </c>
    </row>
    <row r="209">
      <c r="A209">
        <v>114</v>
      </c>
      <c r="B209" t="str">
        <v>27 Juli 2024</v>
      </c>
      <c r="D209" t="str">
        <v xml:space="preserve">Toko Madura Berkah </v>
      </c>
      <c r="F209" t="str">
        <v>Jl.Sindang barang</v>
      </c>
      <c r="G209" t="str">
        <v>Sindang Barang</v>
      </c>
      <c r="H209" t="str">
        <v>Bogor Barat</v>
      </c>
      <c r="I209" t="str">
        <v>Kota Bogor</v>
      </c>
      <c r="J209" t="str">
        <v>Jawa barat</v>
      </c>
      <c r="L209" t="str">
        <v>Publik</v>
      </c>
      <c r="M209" t="str">
        <v>Firdaus</v>
      </c>
      <c r="N209" t="str">
        <v>aktif</v>
      </c>
      <c r="CR209">
        <v>12</v>
      </c>
      <c r="CS209">
        <v>9000</v>
      </c>
      <c r="DA209">
        <v>4</v>
      </c>
      <c r="DB209">
        <v>45000</v>
      </c>
      <c r="DD209">
        <v>6</v>
      </c>
      <c r="DE209">
        <v>22000</v>
      </c>
      <c r="DG209">
        <v>4</v>
      </c>
      <c r="DH209">
        <v>20000</v>
      </c>
      <c r="DJ209">
        <v>6</v>
      </c>
      <c r="DK209">
        <v>17500</v>
      </c>
      <c r="DM209">
        <v>4</v>
      </c>
      <c r="DN209">
        <v>22000</v>
      </c>
      <c r="DP209">
        <v>4</v>
      </c>
      <c r="DQ209">
        <v>41000</v>
      </c>
      <c r="DS209">
        <v>8</v>
      </c>
      <c r="DT209">
        <v>26000</v>
      </c>
      <c r="DV209">
        <v>1</v>
      </c>
      <c r="DW209">
        <v>9000</v>
      </c>
      <c r="DY209">
        <v>4</v>
      </c>
      <c r="DZ209">
        <v>16000</v>
      </c>
      <c r="EB209">
        <v>2</v>
      </c>
      <c r="EC209">
        <v>42000</v>
      </c>
      <c r="EE209">
        <v>4</v>
      </c>
      <c r="EF209">
        <v>6500</v>
      </c>
      <c r="EH209">
        <v>2</v>
      </c>
    </row>
    <row r="210">
      <c r="A210">
        <v>115</v>
      </c>
      <c r="B210" t="str">
        <v>29 Juli 2024</v>
      </c>
      <c r="D210" t="str">
        <v>Toko Lubis/Ari / toko madura juara</v>
      </c>
      <c r="F210" t="str">
        <v>Jl.Situ Gede</v>
      </c>
      <c r="G210" t="str">
        <v>Situ Gede</v>
      </c>
      <c r="H210" t="str">
        <v>Bogor Barat</v>
      </c>
      <c r="I210" t="str">
        <v>Kota Bogor</v>
      </c>
      <c r="J210" t="str">
        <v>Jawa barat</v>
      </c>
      <c r="K210">
        <v>87752001849</v>
      </c>
      <c r="L210" t="str">
        <v>Publik</v>
      </c>
      <c r="M210" t="str">
        <v>Firdaus</v>
      </c>
      <c r="N210" t="str">
        <v>aktif</v>
      </c>
      <c r="CX210" t="str">
        <v>27 24</v>
      </c>
      <c r="CY210">
        <v>11500</v>
      </c>
      <c r="DD210">
        <v>21</v>
      </c>
      <c r="DE210">
        <v>65000</v>
      </c>
      <c r="DG210">
        <v>18</v>
      </c>
      <c r="DH210">
        <v>63000</v>
      </c>
      <c r="DJ210">
        <v>17</v>
      </c>
      <c r="DK210">
        <v>86000</v>
      </c>
      <c r="DM210">
        <v>17</v>
      </c>
      <c r="DN210">
        <v>58000</v>
      </c>
      <c r="DP210">
        <v>14</v>
      </c>
      <c r="DQ210">
        <v>38000</v>
      </c>
      <c r="DS210">
        <v>16</v>
      </c>
      <c r="DT210">
        <v>26000</v>
      </c>
      <c r="DV210">
        <v>13</v>
      </c>
      <c r="DW210">
        <v>32000</v>
      </c>
      <c r="DY210">
        <v>13</v>
      </c>
      <c r="DZ210">
        <v>36000</v>
      </c>
      <c r="EB210" s="1">
        <v>45879</v>
      </c>
      <c r="EC210">
        <v>16000</v>
      </c>
      <c r="ED210" t="str">
        <v>kosomg-8</v>
      </c>
      <c r="EE210">
        <v>11</v>
      </c>
      <c r="EF210">
        <v>17000</v>
      </c>
      <c r="EH210">
        <v>12</v>
      </c>
      <c r="EI210">
        <v>5000</v>
      </c>
      <c r="EK210">
        <v>14</v>
      </c>
      <c r="EL210">
        <v>7000</v>
      </c>
      <c r="EN210">
        <v>10</v>
      </c>
      <c r="EO210">
        <v>3500</v>
      </c>
    </row>
    <row r="211">
      <c r="A211">
        <v>116</v>
      </c>
      <c r="B211" t="str">
        <v>29 Juli 2024</v>
      </c>
      <c r="D211" t="str">
        <v>RM Kito Saiyo / kelontong madura siti khodijah</v>
      </c>
      <c r="F211" t="str">
        <v>Jl.Situ Gede</v>
      </c>
      <c r="G211" t="str">
        <v>Situ Gede</v>
      </c>
      <c r="H211" t="str">
        <v>Bogor Barat</v>
      </c>
      <c r="I211" t="str">
        <v>Kota Bogor</v>
      </c>
      <c r="J211" t="str">
        <v>Jawa barat</v>
      </c>
      <c r="L211" t="str">
        <v>Publik</v>
      </c>
      <c r="M211" t="str">
        <v>Firdaus</v>
      </c>
      <c r="N211" t="str">
        <v>aktif</v>
      </c>
      <c r="CX211">
        <v>24</v>
      </c>
      <c r="CY211">
        <v>16000</v>
      </c>
      <c r="DA211">
        <v>24</v>
      </c>
      <c r="DB211">
        <v>20000</v>
      </c>
      <c r="DG211">
        <v>18</v>
      </c>
      <c r="DH211">
        <v>25000</v>
      </c>
      <c r="DJ211">
        <v>17</v>
      </c>
      <c r="DK211">
        <v>34000</v>
      </c>
      <c r="DM211">
        <v>17</v>
      </c>
      <c r="DN211">
        <v>30000</v>
      </c>
      <c r="DP211">
        <v>14</v>
      </c>
      <c r="DQ211">
        <v>22000</v>
      </c>
      <c r="DS211">
        <v>16</v>
      </c>
      <c r="DT211">
        <v>52000</v>
      </c>
      <c r="DV211">
        <v>13</v>
      </c>
      <c r="DW211">
        <v>14000</v>
      </c>
      <c r="DY211">
        <v>13</v>
      </c>
      <c r="DZ211">
        <v>14000</v>
      </c>
      <c r="EB211">
        <v>10</v>
      </c>
      <c r="EC211">
        <v>16500</v>
      </c>
      <c r="EE211">
        <v>11</v>
      </c>
      <c r="EF211">
        <v>11000</v>
      </c>
      <c r="EJ211" t="str">
        <v>kosong</v>
      </c>
      <c r="EK211">
        <v>14</v>
      </c>
      <c r="EL211">
        <v>17000</v>
      </c>
      <c r="EN211">
        <v>10</v>
      </c>
      <c r="EO211">
        <v>10000</v>
      </c>
    </row>
    <row r="212">
      <c r="A212">
        <v>243</v>
      </c>
      <c r="B212" t="str">
        <v>29 Juli 2024</v>
      </c>
      <c r="D212" t="str">
        <v>Bimba AiuEO Situgede</v>
      </c>
      <c r="F212" t="str">
        <v>Jl.Cilubang Nagrak</v>
      </c>
      <c r="G212" t="str">
        <v>Situ Gede</v>
      </c>
      <c r="H212" t="str">
        <v>Bogor Barat</v>
      </c>
      <c r="I212" t="str">
        <v>Kota Bogor</v>
      </c>
      <c r="J212" t="str">
        <v>Jawa barat</v>
      </c>
      <c r="K212">
        <v>81399002042</v>
      </c>
      <c r="L212" t="str">
        <v>Publik</v>
      </c>
      <c r="M212" t="str">
        <v>Firdaus</v>
      </c>
      <c r="N212" t="str">
        <v>non aktif</v>
      </c>
      <c r="CU212">
        <v>23</v>
      </c>
      <c r="CV212">
        <v>14000</v>
      </c>
    </row>
    <row r="213">
      <c r="A213">
        <v>117</v>
      </c>
      <c r="B213" t="str">
        <v>29 Juli 2024</v>
      </c>
      <c r="D213" t="str">
        <v>Dapoer Bunda ling</v>
      </c>
      <c r="F213" t="str">
        <v xml:space="preserve">Jl bubulak </v>
      </c>
      <c r="G213" t="str">
        <v>Cilendek</v>
      </c>
      <c r="H213" t="str">
        <v>Bogor Barat</v>
      </c>
      <c r="I213" t="str">
        <v>Kota Bogor</v>
      </c>
      <c r="J213" t="str">
        <v>Jawa barat</v>
      </c>
      <c r="K213">
        <v>89611443988</v>
      </c>
      <c r="L213" t="str">
        <v>Publik</v>
      </c>
      <c r="M213" t="str">
        <v>Firdaus</v>
      </c>
      <c r="N213" t="str">
        <v>aktif</v>
      </c>
      <c r="CU213">
        <v>22</v>
      </c>
      <c r="CV213">
        <v>77500</v>
      </c>
      <c r="DC213" t="str">
        <v>kosong</v>
      </c>
      <c r="DG213">
        <v>18</v>
      </c>
      <c r="DI213" t="str">
        <v>kosong</v>
      </c>
      <c r="DJ213">
        <v>11</v>
      </c>
      <c r="DL213" t="str">
        <v>kosong</v>
      </c>
      <c r="DR213" t="str">
        <v>kosong</v>
      </c>
      <c r="DU213" t="str">
        <v>tutup</v>
      </c>
      <c r="EA213" t="str">
        <v>tutup</v>
      </c>
      <c r="EJ213" t="str">
        <v>tutup</v>
      </c>
      <c r="EM213" t="str">
        <v>tutup</v>
      </c>
      <c r="EP213" t="str">
        <v>tutup</v>
      </c>
    </row>
    <row r="214">
      <c r="A214">
        <v>245</v>
      </c>
      <c r="B214" t="str">
        <v>29 Juli 2024</v>
      </c>
      <c r="D214" t="str">
        <v>Masakan padang (Rumah makan) murah</v>
      </c>
      <c r="F214" t="str">
        <v>Jl raya Setu Gede ,Cilubang Naggrak Rt 02 Rw 4 No.49</v>
      </c>
      <c r="G214" t="str">
        <v>Situ Gede</v>
      </c>
      <c r="H214" t="str">
        <v>Bogor Barat</v>
      </c>
      <c r="I214" t="str">
        <v>Kota Bogor</v>
      </c>
      <c r="J214" t="str">
        <v>Jawa barat</v>
      </c>
      <c r="K214">
        <v>81345558734</v>
      </c>
      <c r="L214" t="str">
        <v>Publik</v>
      </c>
      <c r="M214" t="str">
        <v>Firdaus</v>
      </c>
      <c r="N214" t="str">
        <v>non aktif</v>
      </c>
      <c r="CW214" t="str">
        <v>kosong</v>
      </c>
    </row>
    <row r="215">
      <c r="A215">
        <v>118</v>
      </c>
      <c r="B215" t="str">
        <v>29 Juli 2024</v>
      </c>
      <c r="D215" t="str">
        <v>Warung Ikan Bakar Marapi</v>
      </c>
      <c r="F215" t="str">
        <v>Jl. Tambakan Dua, situ gede</v>
      </c>
      <c r="G215" t="str">
        <v>Situ Gede</v>
      </c>
      <c r="H215" t="str">
        <v>Bogor Barat</v>
      </c>
      <c r="I215" t="str">
        <v>Kota Bogor</v>
      </c>
      <c r="J215" t="str">
        <v>Jawa barat</v>
      </c>
      <c r="K215">
        <v>82129265088</v>
      </c>
      <c r="L215" t="str">
        <v>Publik</v>
      </c>
      <c r="M215" t="str">
        <v>Firdaus</v>
      </c>
      <c r="N215" t="str">
        <v>aktif</v>
      </c>
      <c r="CU215">
        <v>22</v>
      </c>
      <c r="CV215">
        <v>9000</v>
      </c>
      <c r="CX215">
        <v>24</v>
      </c>
      <c r="CY215">
        <v>13500</v>
      </c>
      <c r="DA215">
        <v>24</v>
      </c>
      <c r="DB215">
        <v>7000</v>
      </c>
      <c r="DD215">
        <v>21</v>
      </c>
      <c r="DE215">
        <v>32000</v>
      </c>
      <c r="DG215">
        <v>18</v>
      </c>
      <c r="DH215">
        <v>11000</v>
      </c>
      <c r="DJ215">
        <v>17</v>
      </c>
      <c r="DK215">
        <v>11000</v>
      </c>
      <c r="DM215">
        <v>17</v>
      </c>
      <c r="DN215">
        <v>6000</v>
      </c>
      <c r="DP215">
        <v>11</v>
      </c>
      <c r="DR215" t="str">
        <v>kosong</v>
      </c>
      <c r="DS215">
        <v>16</v>
      </c>
      <c r="DU215" t="str">
        <v>kosong</v>
      </c>
      <c r="DV215">
        <v>13</v>
      </c>
      <c r="DW215">
        <v>42000</v>
      </c>
      <c r="DY215">
        <v>13</v>
      </c>
      <c r="EA215" t="str">
        <v>kosong</v>
      </c>
      <c r="EB215">
        <v>10</v>
      </c>
      <c r="ED215" t="str">
        <v>kosong</v>
      </c>
      <c r="EH215">
        <v>12</v>
      </c>
      <c r="EI215">
        <v>6000</v>
      </c>
      <c r="EK215">
        <v>14</v>
      </c>
      <c r="EM215" t="str">
        <v>kosong</v>
      </c>
      <c r="EN215">
        <v>10</v>
      </c>
      <c r="EO215">
        <v>5500</v>
      </c>
    </row>
    <row r="216">
      <c r="A216">
        <v>119</v>
      </c>
      <c r="B216" t="str">
        <v>29 Juli 2024</v>
      </c>
      <c r="D216" t="str">
        <v>WM Pinang Jaya /Toko Arina Frozen/ toko murah indah 2</v>
      </c>
      <c r="F216" t="str">
        <v>Jl Pintu ledeng/ jl villa ciomas h6</v>
      </c>
      <c r="G216" t="str">
        <v>ciomas</v>
      </c>
      <c r="H216" t="str">
        <v>Ciomas</v>
      </c>
      <c r="I216" t="str">
        <v>kab Bogor</v>
      </c>
      <c r="J216" t="str">
        <v>Jawa barat</v>
      </c>
      <c r="K216">
        <v>87874977246</v>
      </c>
      <c r="L216" t="str">
        <v>Publik</v>
      </c>
      <c r="M216" t="str">
        <v>Firdaus</v>
      </c>
      <c r="N216" t="str">
        <v>aktif</v>
      </c>
      <c r="CW216" t="str">
        <v>kosong</v>
      </c>
      <c r="DJ216">
        <v>20</v>
      </c>
      <c r="DK216">
        <v>71000</v>
      </c>
      <c r="DM216">
        <v>24</v>
      </c>
      <c r="DN216">
        <v>56000</v>
      </c>
      <c r="DP216">
        <v>21</v>
      </c>
      <c r="DQ216">
        <v>31000</v>
      </c>
      <c r="EA216" t="str">
        <v>kosong</v>
      </c>
      <c r="EB216">
        <v>3</v>
      </c>
      <c r="EC216">
        <v>3000</v>
      </c>
      <c r="EH216">
        <v>19</v>
      </c>
      <c r="EJ216" t="str">
        <v>kosong</v>
      </c>
      <c r="EM216" t="str">
        <v>ditarik</v>
      </c>
      <c r="EQ216">
        <v>28</v>
      </c>
      <c r="ES216" t="str">
        <v>penempatan</v>
      </c>
    </row>
    <row r="217">
      <c r="A217">
        <v>120</v>
      </c>
      <c r="B217" t="str">
        <v>1 Agustus 2024</v>
      </c>
      <c r="D217" t="str">
        <v>Warteg Nasional Bahari (Sebrang TB) Cilendek</v>
      </c>
      <c r="F217" t="str">
        <v xml:space="preserve"> Cilendek </v>
      </c>
      <c r="G217" t="str">
        <v>Cilendek</v>
      </c>
      <c r="H217" t="str">
        <v>Bogor Barat</v>
      </c>
      <c r="I217" t="str">
        <v>Kota Bogor</v>
      </c>
      <c r="J217" t="str">
        <v>Jawa barat</v>
      </c>
      <c r="N217" t="str">
        <v>aktif</v>
      </c>
      <c r="CU217">
        <v>21</v>
      </c>
      <c r="CV217">
        <v>32000</v>
      </c>
      <c r="CX217">
        <v>19</v>
      </c>
      <c r="CY217">
        <v>37000</v>
      </c>
      <c r="DA217">
        <v>16</v>
      </c>
      <c r="DB217">
        <v>31000</v>
      </c>
      <c r="DG217">
        <v>10</v>
      </c>
      <c r="DH217">
        <v>29000</v>
      </c>
      <c r="DJ217">
        <v>10</v>
      </c>
      <c r="DK217">
        <v>54000</v>
      </c>
      <c r="DM217">
        <v>10</v>
      </c>
      <c r="DN217">
        <v>32000</v>
      </c>
      <c r="DP217">
        <v>4</v>
      </c>
      <c r="DQ217">
        <v>26000</v>
      </c>
      <c r="DS217">
        <v>10</v>
      </c>
      <c r="DT217">
        <v>14000</v>
      </c>
      <c r="DV217">
        <v>8</v>
      </c>
      <c r="DW217">
        <v>51000</v>
      </c>
      <c r="DY217">
        <v>3</v>
      </c>
      <c r="DZ217">
        <v>37000</v>
      </c>
      <c r="EB217">
        <v>2</v>
      </c>
      <c r="EC217">
        <v>36000</v>
      </c>
      <c r="EE217">
        <v>4</v>
      </c>
      <c r="EF217">
        <v>38000</v>
      </c>
      <c r="EH217">
        <v>1</v>
      </c>
      <c r="EI217">
        <v>43000</v>
      </c>
      <c r="EK217">
        <v>1</v>
      </c>
      <c r="EL217">
        <v>30000</v>
      </c>
      <c r="EN217">
        <v>3</v>
      </c>
      <c r="EO217">
        <v>27000</v>
      </c>
      <c r="EQ217">
        <v>1</v>
      </c>
      <c r="ER217">
        <v>19000</v>
      </c>
    </row>
    <row r="218">
      <c r="A218">
        <v>121</v>
      </c>
      <c r="D218" t="str">
        <v>hamba Allah Bogor (ngga ada kotak)</v>
      </c>
      <c r="N218" t="str">
        <v>aktif</v>
      </c>
      <c r="CU218">
        <v>9</v>
      </c>
      <c r="CV218">
        <v>15000</v>
      </c>
      <c r="CX218">
        <v>4</v>
      </c>
      <c r="CY218">
        <v>60000</v>
      </c>
      <c r="DA218">
        <v>25</v>
      </c>
      <c r="DB218">
        <v>30000</v>
      </c>
      <c r="DD218">
        <v>28</v>
      </c>
      <c r="DE218">
        <v>150000</v>
      </c>
      <c r="DJ218">
        <v>15</v>
      </c>
      <c r="DK218">
        <v>150000</v>
      </c>
      <c r="DM218">
        <v>28</v>
      </c>
      <c r="DN218">
        <v>200000</v>
      </c>
      <c r="DU218" t="str">
        <v>kosong</v>
      </c>
      <c r="EB218" s="1">
        <v>45673</v>
      </c>
      <c r="EC218">
        <f>200000+50000</f>
        <v>250000</v>
      </c>
      <c r="ED218" t="str">
        <v>gebyar muharram</v>
      </c>
      <c r="EE218">
        <v>25</v>
      </c>
      <c r="EF218">
        <v>66500</v>
      </c>
      <c r="EH218" s="1">
        <v>45925</v>
      </c>
      <c r="EI218">
        <f>50000+130000</f>
        <v>180000</v>
      </c>
      <c r="EJ218" t="str">
        <v>tf mandiri</v>
      </c>
      <c r="EK218">
        <v>6</v>
      </c>
      <c r="EL218">
        <v>100000</v>
      </c>
    </row>
    <row r="219">
      <c r="A219">
        <v>122</v>
      </c>
      <c r="B219" t="str">
        <v>7 Agustus 2024</v>
      </c>
      <c r="D219" t="str">
        <v xml:space="preserve">Bimba Rainbow Kid parakan </v>
      </c>
      <c r="F219" t="str">
        <v>JL Babakan Desa Mulya Jaya /Dampit</v>
      </c>
      <c r="G219" t="str">
        <v>Parakan</v>
      </c>
      <c r="H219" t="str">
        <v>Ciomas</v>
      </c>
      <c r="I219" t="str">
        <v>Kab Bogor</v>
      </c>
      <c r="J219" t="str">
        <v>Jawa Barat</v>
      </c>
      <c r="K219">
        <v>85157244520</v>
      </c>
      <c r="L219" t="str">
        <v>Publik</v>
      </c>
      <c r="M219" t="str">
        <v>Firdaus</v>
      </c>
      <c r="N219" t="str">
        <v>aktif</v>
      </c>
      <c r="CX219">
        <v>9</v>
      </c>
      <c r="CY219">
        <v>43000</v>
      </c>
      <c r="DA219">
        <v>11</v>
      </c>
      <c r="DB219">
        <v>35000</v>
      </c>
      <c r="DD219">
        <v>11</v>
      </c>
      <c r="DE219">
        <v>28000</v>
      </c>
      <c r="DG219">
        <v>10</v>
      </c>
      <c r="DH219">
        <v>35000</v>
      </c>
      <c r="DJ219">
        <v>13</v>
      </c>
      <c r="DK219">
        <v>7000</v>
      </c>
      <c r="DM219">
        <v>13</v>
      </c>
      <c r="DN219">
        <v>4000</v>
      </c>
      <c r="DP219">
        <v>18</v>
      </c>
      <c r="DQ219">
        <v>40000</v>
      </c>
      <c r="DS219">
        <v>22</v>
      </c>
      <c r="DT219">
        <v>5000</v>
      </c>
      <c r="DY219">
        <v>12</v>
      </c>
      <c r="DZ219">
        <v>13000</v>
      </c>
      <c r="EB219">
        <v>23</v>
      </c>
      <c r="EC219">
        <v>6500</v>
      </c>
      <c r="EH219">
        <v>27</v>
      </c>
      <c r="EI219">
        <v>7000</v>
      </c>
      <c r="EN219">
        <v>19</v>
      </c>
      <c r="EO219">
        <v>15500</v>
      </c>
    </row>
    <row r="220">
      <c r="A220">
        <v>147</v>
      </c>
      <c r="B220" t="str">
        <v xml:space="preserve"> Agustus 2024</v>
      </c>
      <c r="D220" t="str">
        <v>Lesehan mas bro/ toko seroja</v>
      </c>
      <c r="F220" t="str">
        <v>JL BNR/selakopi</v>
      </c>
      <c r="G220" t="str">
        <v xml:space="preserve">Mulyaharja </v>
      </c>
      <c r="H220" t="str">
        <v>Bogor Selatan</v>
      </c>
      <c r="I220" t="str">
        <v>Kota Bogor</v>
      </c>
      <c r="J220" t="str">
        <v>Jawa Barat</v>
      </c>
      <c r="L220" t="str">
        <v>Publik</v>
      </c>
      <c r="M220" t="str">
        <v>Firdaus</v>
      </c>
      <c r="N220" t="str">
        <v>aktif</v>
      </c>
      <c r="CU220">
        <v>16</v>
      </c>
      <c r="CV220">
        <v>2000</v>
      </c>
      <c r="CX220">
        <v>17</v>
      </c>
      <c r="CY220">
        <v>2000</v>
      </c>
      <c r="DC220" t="str">
        <v>kosong</v>
      </c>
      <c r="DG220">
        <v>18</v>
      </c>
      <c r="DI220" t="str">
        <v>kosong</v>
      </c>
      <c r="DJ220">
        <v>11</v>
      </c>
      <c r="DL220" t="str">
        <v>kosong</v>
      </c>
      <c r="DP220">
        <v>12</v>
      </c>
      <c r="DQ220">
        <v>2000</v>
      </c>
      <c r="DU220" t="str">
        <v>kosong</v>
      </c>
      <c r="EA220" t="str">
        <v>kosong</v>
      </c>
      <c r="EJ220" t="str">
        <v>ditarik</v>
      </c>
      <c r="EK220">
        <v>21</v>
      </c>
      <c r="EL220">
        <v>40000</v>
      </c>
      <c r="EM220" t="str">
        <v>penempatan</v>
      </c>
      <c r="EN220">
        <v>21</v>
      </c>
      <c r="EO220">
        <v>45000</v>
      </c>
    </row>
    <row r="221">
      <c r="A221">
        <v>123</v>
      </c>
      <c r="B221" s="1">
        <v>45484</v>
      </c>
      <c r="D221" t="str">
        <v>RM Nasi Padang Cimanggu Raya</v>
      </c>
      <c r="E221">
        <v>701</v>
      </c>
      <c r="F221" t="str">
        <v>Ujung jalan Perkutut Villa Ciomas</v>
      </c>
      <c r="G221" t="str">
        <v>Ciomas Rahayu</v>
      </c>
      <c r="H221" t="str">
        <v>Ciomas</v>
      </c>
      <c r="I221" t="str">
        <v>Kab Bogor</v>
      </c>
      <c r="J221" t="str">
        <v>Jawa Barat</v>
      </c>
      <c r="K221">
        <v>81283007169</v>
      </c>
      <c r="L221" t="str">
        <v>publik</v>
      </c>
      <c r="M221" t="str">
        <v>Aldi</v>
      </c>
      <c r="N221" t="str">
        <v>aktif</v>
      </c>
      <c r="CR221">
        <v>22</v>
      </c>
      <c r="CS221">
        <v>2000</v>
      </c>
      <c r="CX221" t="str">
        <v>26 25</v>
      </c>
      <c r="CY221">
        <v>38000</v>
      </c>
      <c r="DA221">
        <v>25</v>
      </c>
      <c r="DB221">
        <v>28500</v>
      </c>
      <c r="DG221" t="str">
        <v>28    23</v>
      </c>
      <c r="DH221">
        <f>23000+10000</f>
        <v>33000</v>
      </c>
      <c r="DJ221">
        <v>22</v>
      </c>
      <c r="DK221">
        <v>19000</v>
      </c>
      <c r="DM221">
        <v>24</v>
      </c>
      <c r="DN221">
        <v>16000</v>
      </c>
      <c r="DP221">
        <v>24</v>
      </c>
      <c r="DQ221">
        <v>13500</v>
      </c>
      <c r="DS221">
        <v>25</v>
      </c>
      <c r="DT221">
        <v>20000</v>
      </c>
      <c r="DV221">
        <v>21</v>
      </c>
      <c r="DW221">
        <v>18000</v>
      </c>
      <c r="DY221" t="str">
        <v>24  25</v>
      </c>
      <c r="EA221" t="str">
        <v>tutup</v>
      </c>
      <c r="EE221">
        <v>25</v>
      </c>
      <c r="EF221">
        <v>19000</v>
      </c>
      <c r="EK221">
        <v>22</v>
      </c>
      <c r="EL221">
        <v>24000</v>
      </c>
      <c r="EN221">
        <v>20</v>
      </c>
      <c r="EO221">
        <v>18500</v>
      </c>
    </row>
    <row r="222">
      <c r="A222">
        <v>124</v>
      </c>
      <c r="B222" s="1">
        <v>45484</v>
      </c>
      <c r="D222" t="str">
        <v xml:space="preserve">WM Seblak Teh lenny </v>
      </c>
      <c r="E222">
        <v>708</v>
      </c>
      <c r="F222" t="str">
        <v xml:space="preserve">Jl Garuda I Villa Ciomas </v>
      </c>
      <c r="G222" t="str">
        <v>Ciomas Rahayu</v>
      </c>
      <c r="H222" t="str">
        <v>Ciomas</v>
      </c>
      <c r="I222" t="str">
        <v>Kab Bogor</v>
      </c>
      <c r="J222" t="str">
        <v>Jawa Barat</v>
      </c>
      <c r="K222">
        <v>85778796707</v>
      </c>
      <c r="L222" t="str">
        <v>publik</v>
      </c>
      <c r="M222" t="str">
        <v>Aldi</v>
      </c>
      <c r="N222" t="str">
        <v>aktif</v>
      </c>
      <c r="CX222">
        <v>26</v>
      </c>
      <c r="CY222">
        <v>10000</v>
      </c>
      <c r="DA222">
        <v>30</v>
      </c>
      <c r="DB222">
        <v>51000</v>
      </c>
      <c r="DG222" t="str">
        <v>28    23</v>
      </c>
      <c r="DH222">
        <f>6000+55000</f>
        <v>61000</v>
      </c>
      <c r="DJ222">
        <v>22</v>
      </c>
      <c r="DL222" t="str">
        <v>kosong</v>
      </c>
      <c r="DM222">
        <v>24</v>
      </c>
      <c r="DO222" t="str">
        <v>kosong</v>
      </c>
      <c r="DS222">
        <v>25</v>
      </c>
      <c r="DT222">
        <v>52500</v>
      </c>
      <c r="DV222">
        <v>21</v>
      </c>
      <c r="DX222" t="str">
        <v>tutup</v>
      </c>
      <c r="DY222" t="str">
        <v>24  25</v>
      </c>
      <c r="DZ222">
        <v>12000</v>
      </c>
      <c r="EA222" t="str">
        <v>kosong-24</v>
      </c>
      <c r="EE222">
        <v>31</v>
      </c>
      <c r="EF222">
        <v>15000</v>
      </c>
      <c r="EH222">
        <v>24</v>
      </c>
      <c r="EI222">
        <v>7000</v>
      </c>
      <c r="EP222" t="str">
        <v>kosong</v>
      </c>
      <c r="EQ222">
        <v>2</v>
      </c>
      <c r="ER222">
        <v>7000</v>
      </c>
    </row>
    <row r="223">
      <c r="A223">
        <v>125</v>
      </c>
      <c r="B223" s="1">
        <v>45481</v>
      </c>
      <c r="D223" t="str">
        <v>WM Nasi Hejo Ngenah/ RM Ajo</v>
      </c>
      <c r="E223">
        <v>705</v>
      </c>
      <c r="F223" t="str">
        <v xml:space="preserve">Villa Ciomas Bunderan </v>
      </c>
      <c r="G223" t="str">
        <v>Ciomas Rahayu</v>
      </c>
      <c r="H223" t="str">
        <v>Ciomas</v>
      </c>
      <c r="I223" t="str">
        <v>Kab Bogor</v>
      </c>
      <c r="J223" t="str">
        <v>Jawa Barat</v>
      </c>
      <c r="K223">
        <v>81311216358</v>
      </c>
      <c r="L223" t="str">
        <v>publik</v>
      </c>
      <c r="M223" t="str">
        <v>Aldi</v>
      </c>
      <c r="N223" t="str">
        <v>aktif</v>
      </c>
      <c r="CR223">
        <v>23</v>
      </c>
      <c r="CS223">
        <v>6000</v>
      </c>
      <c r="CX223">
        <v>28</v>
      </c>
      <c r="CY223">
        <v>3500</v>
      </c>
      <c r="DA223" t="str">
        <v>30 25</v>
      </c>
      <c r="DB223">
        <f>24000+33500</f>
        <v>57500</v>
      </c>
      <c r="DG223">
        <v>23</v>
      </c>
      <c r="DH223">
        <v>9000</v>
      </c>
      <c r="DJ223">
        <v>22</v>
      </c>
      <c r="DL223" t="str">
        <v>kosong</v>
      </c>
      <c r="DM223">
        <v>4</v>
      </c>
      <c r="DN223">
        <v>18000</v>
      </c>
      <c r="DO223" t="str">
        <v>ditarik</v>
      </c>
      <c r="DY223">
        <v>25</v>
      </c>
      <c r="DZ223">
        <v>21000</v>
      </c>
      <c r="EA223" t="str">
        <v>penempatan</v>
      </c>
      <c r="EE223">
        <v>25</v>
      </c>
      <c r="EF223">
        <v>10000</v>
      </c>
      <c r="EH223">
        <v>24</v>
      </c>
      <c r="EI223">
        <v>12000</v>
      </c>
      <c r="EK223">
        <v>22</v>
      </c>
      <c r="EL223">
        <v>17000</v>
      </c>
      <c r="EN223">
        <v>21</v>
      </c>
      <c r="EO223">
        <v>24000</v>
      </c>
    </row>
    <row r="224">
      <c r="A224">
        <v>151</v>
      </c>
      <c r="B224" t="str">
        <v>30 Juli 2024</v>
      </c>
      <c r="D224" t="str">
        <v>PAUD Mutiara  Insan</v>
      </c>
      <c r="F224" t="str">
        <v xml:space="preserve">Jl.Kp Sawah kaum  RT01 Rw 01 </v>
      </c>
      <c r="G224" t="str">
        <v>Mekar jaya</v>
      </c>
      <c r="H224" t="str">
        <v>Ciomas</v>
      </c>
      <c r="I224" t="str">
        <v>Kab Bogor</v>
      </c>
      <c r="J224" t="str">
        <v>Jawa Barat</v>
      </c>
      <c r="K224">
        <v>81317772158</v>
      </c>
      <c r="L224" t="str">
        <v>home</v>
      </c>
      <c r="M224" t="str">
        <v>Firdaus</v>
      </c>
      <c r="N224" t="str">
        <v>non aktif</v>
      </c>
      <c r="DA224">
        <v>1</v>
      </c>
      <c r="DB224">
        <v>120000</v>
      </c>
      <c r="DJ224">
        <v>11</v>
      </c>
      <c r="DL224" t="str">
        <v>kosong</v>
      </c>
      <c r="DP224">
        <v>18</v>
      </c>
      <c r="DQ224">
        <v>56500</v>
      </c>
      <c r="DU224" t="str">
        <v>kosong</v>
      </c>
      <c r="EA224" t="str">
        <v>kosong</v>
      </c>
      <c r="EJ224" t="str">
        <v>ditarik</v>
      </c>
    </row>
    <row r="225">
      <c r="A225">
        <v>126</v>
      </c>
      <c r="B225" t="str">
        <v>30 Juli 2024</v>
      </c>
      <c r="D225" t="str">
        <v>Dedi Sumardi ( Masjid Nurul Falah</v>
      </c>
      <c r="F225" t="str">
        <v>Jl Komplek Balitro Rt 01 Rw 13 No.7</v>
      </c>
      <c r="G225" t="str">
        <v>Menteng</v>
      </c>
      <c r="H225" t="str">
        <v>Bogor Barat</v>
      </c>
      <c r="I225" t="str">
        <v>Kota Bogor</v>
      </c>
      <c r="J225" t="str">
        <v>Jawa Barat</v>
      </c>
      <c r="K225">
        <v>81927472355</v>
      </c>
      <c r="L225" t="str">
        <v>home</v>
      </c>
      <c r="M225" t="str">
        <v>Firdaus</v>
      </c>
      <c r="N225" t="str">
        <v>aktif</v>
      </c>
      <c r="DG225">
        <v>3</v>
      </c>
      <c r="DH225">
        <v>60000</v>
      </c>
      <c r="DJ225">
        <v>10</v>
      </c>
      <c r="DK225">
        <v>25000</v>
      </c>
      <c r="DP225">
        <v>28</v>
      </c>
      <c r="DQ225">
        <v>57000</v>
      </c>
      <c r="DS225">
        <v>26</v>
      </c>
      <c r="DT225">
        <v>50000</v>
      </c>
      <c r="EA225" t="str">
        <v>kosong</v>
      </c>
      <c r="EB225">
        <v>11</v>
      </c>
      <c r="EC225">
        <v>53000</v>
      </c>
      <c r="EH225">
        <v>19</v>
      </c>
      <c r="EI225">
        <v>70000</v>
      </c>
    </row>
    <row r="226">
      <c r="A226">
        <v>127</v>
      </c>
      <c r="B226" t="str">
        <v>20 Sep 2024/ 7/5/2025</v>
      </c>
      <c r="D226" t="str">
        <v>Dadi Supardi/ toko madura nathan</v>
      </c>
      <c r="F226" t="str">
        <v>jl. Parakan Asri D12/jl. Raya Laladon deket per3 an loji</v>
      </c>
      <c r="G226" t="str">
        <v>Mekar jaya</v>
      </c>
      <c r="H226" t="str">
        <v>Ciomas</v>
      </c>
      <c r="I226" t="str">
        <v>Kab Bogor</v>
      </c>
      <c r="J226" t="str">
        <v>Jawa Barat</v>
      </c>
      <c r="K226" t="str">
        <v>0812 88016662/ 081907523943</v>
      </c>
      <c r="L226" t="str">
        <v>home</v>
      </c>
      <c r="M226" t="str">
        <v>Firdaus</v>
      </c>
      <c r="N226" t="str">
        <v>aktif</v>
      </c>
      <c r="DD226">
        <v>22</v>
      </c>
      <c r="DE226">
        <v>100000</v>
      </c>
      <c r="DM226">
        <v>4</v>
      </c>
      <c r="DN226">
        <v>11000</v>
      </c>
      <c r="DO226" t="str">
        <v>ditarik</v>
      </c>
      <c r="DT226" t="str">
        <v xml:space="preserve"> </v>
      </c>
      <c r="DY226">
        <v>17</v>
      </c>
      <c r="DZ226">
        <v>12000</v>
      </c>
      <c r="EB226">
        <v>7</v>
      </c>
      <c r="EC226">
        <v>18000</v>
      </c>
      <c r="EE226">
        <v>7</v>
      </c>
      <c r="EF226">
        <v>17000</v>
      </c>
      <c r="EH226">
        <v>9</v>
      </c>
      <c r="EI226">
        <v>46000</v>
      </c>
      <c r="EK226">
        <v>8</v>
      </c>
      <c r="EL226">
        <v>14000</v>
      </c>
      <c r="EN226">
        <v>10</v>
      </c>
      <c r="EO226">
        <v>28000</v>
      </c>
      <c r="EQ226">
        <v>9</v>
      </c>
      <c r="ER226">
        <v>25000</v>
      </c>
    </row>
    <row r="227">
      <c r="A227">
        <v>128</v>
      </c>
      <c r="B227" t="str">
        <v>Agustus 2024</v>
      </c>
      <c r="D227" t="str">
        <v>TKIT Insan Robbani</v>
      </c>
      <c r="F227" t="str">
        <v>Jl.Panoraaman ,Sindang barang</v>
      </c>
      <c r="G227" t="str">
        <v>Sindang Barang</v>
      </c>
      <c r="H227" t="str">
        <v>Bogor Barat</v>
      </c>
      <c r="I227" t="str">
        <v>Kota Bogor</v>
      </c>
      <c r="J227" t="str">
        <v>Jawa Barat</v>
      </c>
      <c r="L227" t="str">
        <v>home</v>
      </c>
      <c r="M227" t="str">
        <v>Firdaus</v>
      </c>
      <c r="N227" t="str">
        <v>aktif</v>
      </c>
      <c r="CU227">
        <v>25</v>
      </c>
      <c r="CV227">
        <v>11500</v>
      </c>
      <c r="CX227">
        <v>23</v>
      </c>
      <c r="CY227">
        <v>39000</v>
      </c>
      <c r="DA227">
        <v>24</v>
      </c>
      <c r="DB227">
        <v>22000</v>
      </c>
      <c r="DJ227">
        <v>11</v>
      </c>
      <c r="DL227" t="str">
        <v>kosong</v>
      </c>
      <c r="DM227">
        <v>24</v>
      </c>
      <c r="DN227">
        <v>60500</v>
      </c>
      <c r="DU227" t="str">
        <v xml:space="preserve">kosong </v>
      </c>
      <c r="DV227">
        <v>21</v>
      </c>
      <c r="DW227">
        <v>84000</v>
      </c>
      <c r="EA227" t="str">
        <v>libur</v>
      </c>
      <c r="EH227" t="str">
        <v>29  24</v>
      </c>
      <c r="EI227">
        <f>35000+42000</f>
        <v>77000</v>
      </c>
      <c r="EK227">
        <v>22</v>
      </c>
      <c r="EL227">
        <v>39000</v>
      </c>
      <c r="EN227">
        <v>20</v>
      </c>
      <c r="EO227">
        <v>30000</v>
      </c>
    </row>
    <row r="228">
      <c r="A228">
        <v>129</v>
      </c>
      <c r="B228" s="1">
        <v>45484</v>
      </c>
      <c r="D228" t="str">
        <v>Warung Mitra Jaya/Warteg nasional Bahari pintu ledeng</v>
      </c>
      <c r="E228">
        <v>703</v>
      </c>
      <c r="F228" t="str">
        <v>Pintu ledeng</v>
      </c>
      <c r="G228" t="str">
        <v>Ciomas</v>
      </c>
      <c r="H228" t="str">
        <v>Ciomas</v>
      </c>
      <c r="I228" t="str">
        <v>Kab Bogor</v>
      </c>
      <c r="J228" t="str">
        <v>Jawa Barat</v>
      </c>
      <c r="K228">
        <v>87710917775</v>
      </c>
      <c r="L228" t="str">
        <v>publik</v>
      </c>
      <c r="M228" t="str">
        <v>Firdaus</v>
      </c>
      <c r="N228" t="str">
        <v>aktif</v>
      </c>
      <c r="CW228" t="str">
        <v>kosong</v>
      </c>
      <c r="CX228">
        <v>25</v>
      </c>
      <c r="CY228">
        <v>2000</v>
      </c>
      <c r="DG228">
        <v>11</v>
      </c>
      <c r="DI228" t="str">
        <v>ditarik</v>
      </c>
      <c r="DJ228">
        <v>20</v>
      </c>
      <c r="DK228">
        <v>26000</v>
      </c>
      <c r="DM228">
        <v>24</v>
      </c>
      <c r="DN228">
        <v>12000</v>
      </c>
      <c r="DP228">
        <v>20</v>
      </c>
      <c r="DQ228">
        <v>25000</v>
      </c>
      <c r="DS228">
        <v>22</v>
      </c>
      <c r="DT228">
        <v>25000</v>
      </c>
      <c r="DV228">
        <v>21</v>
      </c>
      <c r="DW228">
        <v>2000</v>
      </c>
      <c r="DY228">
        <v>16</v>
      </c>
      <c r="DZ228">
        <v>13000</v>
      </c>
      <c r="EB228">
        <v>25</v>
      </c>
      <c r="EC228">
        <v>27000</v>
      </c>
      <c r="EE228">
        <v>14</v>
      </c>
      <c r="EF228">
        <v>25000</v>
      </c>
      <c r="EH228">
        <v>12</v>
      </c>
      <c r="EI228">
        <v>19000</v>
      </c>
      <c r="EK228">
        <v>9</v>
      </c>
      <c r="EL228">
        <v>19000</v>
      </c>
      <c r="EN228">
        <v>11</v>
      </c>
      <c r="EO228">
        <v>21000</v>
      </c>
      <c r="EQ228">
        <v>8</v>
      </c>
      <c r="ER228">
        <v>45000</v>
      </c>
    </row>
    <row r="229">
      <c r="A229">
        <v>156</v>
      </c>
      <c r="B229" s="1">
        <v>45576</v>
      </c>
      <c r="D229" t="str">
        <v>Muhammad Arul Sabil / warung madura hayani</v>
      </c>
      <c r="F229" t="str">
        <v>silih Asih deket masjid At Taqwa/ cipaku</v>
      </c>
      <c r="G229" t="str">
        <v>Parakan/cipaku</v>
      </c>
      <c r="H229" t="str">
        <v>Ciomas/bogor selatan</v>
      </c>
      <c r="I229" t="str">
        <v>Kab Bogor</v>
      </c>
      <c r="J229" t="str">
        <v>Jawa Barat</v>
      </c>
      <c r="K229" t="str">
        <v>0838 77143515/ 087860043093</v>
      </c>
      <c r="L229" t="str">
        <v>Publik</v>
      </c>
      <c r="M229" t="str">
        <v>Firdaus</v>
      </c>
      <c r="N229" t="str">
        <v>aktif</v>
      </c>
      <c r="DM229">
        <v>4</v>
      </c>
      <c r="DN229">
        <v>38000</v>
      </c>
      <c r="DO229" t="str">
        <v>ditarik</v>
      </c>
      <c r="EB229">
        <v>22</v>
      </c>
      <c r="EC229">
        <v>15000</v>
      </c>
      <c r="EE229">
        <v>21</v>
      </c>
      <c r="EF229">
        <v>4500</v>
      </c>
      <c r="EH229">
        <v>22</v>
      </c>
      <c r="EJ229" t="str">
        <v>kosong</v>
      </c>
      <c r="EK229">
        <v>20</v>
      </c>
      <c r="EL229">
        <v>5500</v>
      </c>
      <c r="EN229">
        <v>19</v>
      </c>
      <c r="EO229">
        <v>19500</v>
      </c>
    </row>
    <row r="230">
      <c r="A230">
        <v>130</v>
      </c>
      <c r="B230" s="1">
        <v>45576</v>
      </c>
      <c r="D230" t="str">
        <v>M. Soleh</v>
      </c>
      <c r="F230" t="str">
        <v>silih Asih deket masjid At Taqwa</v>
      </c>
      <c r="G230" t="str">
        <v>Parakan</v>
      </c>
      <c r="H230" t="str">
        <v>Ciomas</v>
      </c>
      <c r="I230" t="str">
        <v>Kab Bogor</v>
      </c>
      <c r="J230" t="str">
        <v>Jawa Barat</v>
      </c>
      <c r="K230" t="str">
        <v>0838 77143515</v>
      </c>
      <c r="L230" t="str">
        <v>Publik</v>
      </c>
      <c r="M230" t="str">
        <v>Firdaus</v>
      </c>
      <c r="N230" t="str">
        <v>aktif</v>
      </c>
      <c r="DD230">
        <v>11</v>
      </c>
      <c r="DE230">
        <v>45000</v>
      </c>
      <c r="DG230">
        <v>10</v>
      </c>
      <c r="DH230">
        <v>39000</v>
      </c>
      <c r="DJ230">
        <v>13</v>
      </c>
      <c r="DK230">
        <v>59000</v>
      </c>
      <c r="DM230">
        <v>13</v>
      </c>
      <c r="DN230">
        <v>53000</v>
      </c>
      <c r="DP230">
        <v>18</v>
      </c>
      <c r="DQ230">
        <v>49500</v>
      </c>
      <c r="DS230">
        <v>22</v>
      </c>
      <c r="DT230">
        <v>54000</v>
      </c>
      <c r="EA230" t="str">
        <v>kosong</v>
      </c>
      <c r="EH230">
        <v>12</v>
      </c>
      <c r="EJ230" t="str">
        <v>kosong</v>
      </c>
      <c r="EK230">
        <v>24</v>
      </c>
      <c r="EL230">
        <v>98500</v>
      </c>
    </row>
    <row r="231">
      <c r="A231">
        <v>131</v>
      </c>
      <c r="B231" s="1">
        <v>45576</v>
      </c>
      <c r="D231" t="str">
        <v>Bang Ray</v>
      </c>
      <c r="G231" t="str">
        <v>Gunung Putri</v>
      </c>
      <c r="H231" t="str">
        <v>Citereup</v>
      </c>
      <c r="I231" t="str">
        <v>Kab Bogor</v>
      </c>
      <c r="J231" t="str">
        <v>Jawa Barat</v>
      </c>
      <c r="L231" t="str">
        <v>home</v>
      </c>
      <c r="M231" t="str">
        <v>Firdaus</v>
      </c>
      <c r="N231" t="str">
        <v>aktif</v>
      </c>
      <c r="DD231">
        <v>19</v>
      </c>
      <c r="DE231">
        <v>95000</v>
      </c>
      <c r="DJ231">
        <v>7</v>
      </c>
      <c r="DK231">
        <v>50000</v>
      </c>
      <c r="DO231" t="str">
        <v>kosong</v>
      </c>
      <c r="DP231">
        <v>19</v>
      </c>
      <c r="DQ231">
        <v>120000</v>
      </c>
      <c r="DS231" t="str">
        <v>28     24</v>
      </c>
      <c r="DT231">
        <f>80000+100000</f>
        <v>180000</v>
      </c>
      <c r="DV231" s="1">
        <v>45923</v>
      </c>
      <c r="DW231">
        <f>303000+153000</f>
        <v>456000</v>
      </c>
      <c r="DX231" t="str">
        <v>tf &amp; Cash</v>
      </c>
      <c r="EA231" t="str">
        <v>kosong</v>
      </c>
      <c r="EB231" t="str">
        <v>27  12</v>
      </c>
      <c r="EC231">
        <f>400000+500000</f>
        <v>900000</v>
      </c>
      <c r="ED231" t="str">
        <v>tf bsi-wakaf quran</v>
      </c>
      <c r="EE231">
        <v>19</v>
      </c>
      <c r="EF231">
        <v>212000</v>
      </c>
      <c r="EH231">
        <v>22</v>
      </c>
      <c r="EI231">
        <v>284000</v>
      </c>
      <c r="EN231">
        <v>8</v>
      </c>
      <c r="EO231">
        <v>262000</v>
      </c>
      <c r="EQ231">
        <v>3</v>
      </c>
      <c r="ER231">
        <v>100000</v>
      </c>
      <c r="ES231" t="str">
        <v>tf bsi (wakaf quran)</v>
      </c>
    </row>
    <row r="232">
      <c r="A232">
        <v>132</v>
      </c>
      <c r="B232" s="1">
        <v>45590</v>
      </c>
      <c r="D232" t="str">
        <v>Bpk Fikri</v>
      </c>
      <c r="F232" t="str">
        <v>Jl. kantor pos cikoneng depan d'bro</v>
      </c>
      <c r="G232" t="str">
        <v>Ciomas Rahayu</v>
      </c>
      <c r="H232" t="str">
        <v>Ciomas</v>
      </c>
      <c r="I232" t="str">
        <v>Kab Bogor</v>
      </c>
      <c r="J232" t="str">
        <v>Jawa Barat</v>
      </c>
      <c r="K232" t="str">
        <v>0859 2206 1415</v>
      </c>
      <c r="L232" t="str">
        <v>Publik</v>
      </c>
      <c r="M232" t="str">
        <v>Firdaus</v>
      </c>
      <c r="N232" t="str">
        <v>aktif</v>
      </c>
      <c r="DD232">
        <v>22</v>
      </c>
      <c r="DE232">
        <v>60000</v>
      </c>
      <c r="DG232">
        <v>17</v>
      </c>
      <c r="DH232">
        <v>12000</v>
      </c>
      <c r="DJ232">
        <v>15</v>
      </c>
      <c r="DK232">
        <v>23000</v>
      </c>
      <c r="DM232">
        <v>18</v>
      </c>
      <c r="DN232">
        <v>32000</v>
      </c>
      <c r="DP232">
        <v>18</v>
      </c>
      <c r="DQ232">
        <v>24000</v>
      </c>
      <c r="DS232">
        <v>18</v>
      </c>
      <c r="DU232" t="str">
        <v>kosong</v>
      </c>
      <c r="DV232">
        <v>20</v>
      </c>
      <c r="DW232">
        <v>50000</v>
      </c>
      <c r="DY232">
        <v>23</v>
      </c>
      <c r="DZ232">
        <v>25500</v>
      </c>
      <c r="EB232">
        <v>18</v>
      </c>
      <c r="EC232">
        <v>24000</v>
      </c>
      <c r="EE232">
        <v>22</v>
      </c>
      <c r="EF232">
        <v>28000</v>
      </c>
      <c r="EH232">
        <v>24</v>
      </c>
      <c r="EI232">
        <v>41500</v>
      </c>
      <c r="EK232">
        <v>16</v>
      </c>
      <c r="EL232">
        <v>12500</v>
      </c>
      <c r="EN232">
        <v>17</v>
      </c>
      <c r="EO232">
        <v>10000</v>
      </c>
    </row>
    <row r="233">
      <c r="A233">
        <v>133</v>
      </c>
      <c r="B233" t="str">
        <v>13 Oktober 2024</v>
      </c>
      <c r="D233" t="str">
        <v>Majlis Taklim Ibu2 Masjid Nur Huda</v>
      </c>
      <c r="F233" t="str">
        <v>Kp Cibogel Desa batu Rw 3</v>
      </c>
      <c r="G233" t="str">
        <v>Kota Batu</v>
      </c>
      <c r="H233" t="str">
        <v>Ciomas</v>
      </c>
      <c r="I233" t="str">
        <v>Bogor</v>
      </c>
      <c r="J233" t="str">
        <v>Jawa barat</v>
      </c>
      <c r="L233" t="str">
        <v>Home</v>
      </c>
      <c r="M233" t="str">
        <v>Firdaus</v>
      </c>
      <c r="N233" t="str">
        <v>aktif</v>
      </c>
      <c r="DD233">
        <v>20</v>
      </c>
      <c r="DE233">
        <v>191000</v>
      </c>
      <c r="DG233">
        <v>23</v>
      </c>
      <c r="DH233">
        <v>93000</v>
      </c>
      <c r="DJ233">
        <v>20</v>
      </c>
      <c r="DK233">
        <v>43500</v>
      </c>
      <c r="DS233">
        <v>18</v>
      </c>
      <c r="DT233">
        <v>105000</v>
      </c>
      <c r="DY233">
        <v>24</v>
      </c>
      <c r="DZ233">
        <v>50000</v>
      </c>
      <c r="EH233">
        <v>25</v>
      </c>
      <c r="EI233">
        <v>20000</v>
      </c>
      <c r="EK233">
        <v>21</v>
      </c>
      <c r="EL233">
        <v>18000</v>
      </c>
      <c r="EN233">
        <v>24</v>
      </c>
      <c r="EO233">
        <v>19000</v>
      </c>
    </row>
    <row r="234">
      <c r="A234">
        <v>134</v>
      </c>
      <c r="B234" s="1">
        <v>45644</v>
      </c>
      <c r="D234" t="str">
        <v>Toko Buah Alimart pintu ledeng</v>
      </c>
      <c r="F234" t="str">
        <v>Jl Pintu ledeng</v>
      </c>
      <c r="G234" t="str">
        <v>Ciomas</v>
      </c>
      <c r="H234" t="str">
        <v>Ciomas</v>
      </c>
      <c r="I234" t="str">
        <v>Kab Bogor</v>
      </c>
      <c r="J234" t="str">
        <v>Jawa barat</v>
      </c>
      <c r="K234">
        <v>83128834868</v>
      </c>
      <c r="L234" t="str">
        <v>Home</v>
      </c>
      <c r="M234" t="str">
        <v>Firdaus</v>
      </c>
      <c r="N234" t="str">
        <v>aktif</v>
      </c>
      <c r="DJ234">
        <v>20</v>
      </c>
      <c r="DK234">
        <v>5000</v>
      </c>
      <c r="DM234">
        <v>25</v>
      </c>
      <c r="DN234">
        <v>19000</v>
      </c>
      <c r="DP234">
        <v>20</v>
      </c>
      <c r="DQ234">
        <v>11000</v>
      </c>
      <c r="DS234">
        <v>24</v>
      </c>
      <c r="DT234">
        <v>8000</v>
      </c>
      <c r="DV234">
        <v>21</v>
      </c>
      <c r="DW234">
        <v>19500</v>
      </c>
      <c r="DY234">
        <v>10</v>
      </c>
      <c r="DZ234">
        <v>8000</v>
      </c>
      <c r="EB234">
        <v>18</v>
      </c>
      <c r="EC234">
        <v>2000</v>
      </c>
      <c r="EH234">
        <v>12</v>
      </c>
      <c r="EI234">
        <v>18000</v>
      </c>
      <c r="EM234" t="str">
        <v>kosong-10</v>
      </c>
      <c r="EN234">
        <v>11</v>
      </c>
      <c r="EO234">
        <v>15000</v>
      </c>
    </row>
    <row r="235">
      <c r="A235">
        <v>135</v>
      </c>
      <c r="B235" t="str">
        <v>4 janu 2025</v>
      </c>
      <c r="D235" t="str">
        <v>Hamba Allah Jakarta (gak ada kotak)</v>
      </c>
      <c r="F235" t="str">
        <v xml:space="preserve">Jl Mampang Prapatan </v>
      </c>
      <c r="N235" t="str">
        <v>aktif</v>
      </c>
      <c r="DJ235">
        <v>4</v>
      </c>
      <c r="DK235">
        <v>250000</v>
      </c>
      <c r="DO235" t="str">
        <v>kosong</v>
      </c>
    </row>
    <row r="236">
      <c r="A236">
        <v>166</v>
      </c>
      <c r="B236" s="1">
        <v>45653</v>
      </c>
      <c r="D236" t="str">
        <v>Toko Madura Bak Lulun/ toko berkah</v>
      </c>
      <c r="F236" t="str">
        <v>Jl. Ciomas Raya Jl Rimba Sebrang Warteg Ibu merry/ jl rimba baru</v>
      </c>
      <c r="G236" t="str">
        <v>Ciomas</v>
      </c>
      <c r="H236" t="str">
        <v>Ciomas</v>
      </c>
      <c r="I236" t="str">
        <v>Kab Bogor</v>
      </c>
      <c r="J236" t="str">
        <v>Jawa Barat</v>
      </c>
      <c r="K236" t="str">
        <v>87870068617/088212804655</v>
      </c>
      <c r="L236" t="str">
        <v>publik</v>
      </c>
      <c r="M236" t="str">
        <v>Firdaus</v>
      </c>
      <c r="N236" t="str">
        <v>aktif</v>
      </c>
      <c r="DJ236">
        <v>21</v>
      </c>
      <c r="DL236" t="str">
        <v>kosong</v>
      </c>
      <c r="DP236">
        <v>10</v>
      </c>
      <c r="DR236" t="str">
        <v>ditarik</v>
      </c>
      <c r="EQ236">
        <v>28</v>
      </c>
      <c r="ES236" t="str">
        <v>penempatan</v>
      </c>
    </row>
    <row r="237">
      <c r="A237">
        <v>136</v>
      </c>
      <c r="B237" s="1">
        <v>45449</v>
      </c>
      <c r="D237" t="str">
        <v>Soto Mie Mak ucih</v>
      </c>
      <c r="F237" t="str">
        <v>Jl. Pahlawan deket per3an</v>
      </c>
      <c r="G237" t="str">
        <v>Bondongan</v>
      </c>
      <c r="H237" t="str">
        <v>Bogor Selatan</v>
      </c>
      <c r="I237" t="str">
        <v>Bogor Kota</v>
      </c>
      <c r="J237" t="str">
        <v>Jawa Barat</v>
      </c>
      <c r="K237" t="str">
        <v>0895 602765128</v>
      </c>
      <c r="L237" t="str">
        <v xml:space="preserve">publik </v>
      </c>
      <c r="M237" t="str">
        <v>Maul</v>
      </c>
      <c r="N237" t="str">
        <v>aktif</v>
      </c>
      <c r="CX237">
        <v>2</v>
      </c>
      <c r="CY237">
        <v>5000</v>
      </c>
      <c r="DA237">
        <v>2</v>
      </c>
      <c r="DB237">
        <v>9000</v>
      </c>
      <c r="DD237">
        <v>6</v>
      </c>
      <c r="DE237">
        <v>12000</v>
      </c>
      <c r="DG237">
        <v>4</v>
      </c>
      <c r="DI237" t="str">
        <v>kosong</v>
      </c>
      <c r="DJ237">
        <v>4</v>
      </c>
      <c r="DL237" t="str">
        <v>kosong</v>
      </c>
      <c r="DU237" t="str">
        <v>kosong</v>
      </c>
      <c r="DY237">
        <v>18</v>
      </c>
      <c r="DZ237">
        <v>8000</v>
      </c>
      <c r="EJ237" t="str">
        <v>kosong</v>
      </c>
      <c r="EK237">
        <v>15</v>
      </c>
      <c r="EM237" t="str">
        <v>kosong</v>
      </c>
      <c r="EN237">
        <v>13</v>
      </c>
      <c r="EO237">
        <v>7000</v>
      </c>
    </row>
    <row r="238">
      <c r="A238">
        <v>168</v>
      </c>
      <c r="B238" s="1">
        <v>45455</v>
      </c>
      <c r="D238" t="str">
        <v>Toko Buyut  TEKNIK (toko aki)</v>
      </c>
      <c r="F238" t="str">
        <v>Jln. Pahlawan Bondongan</v>
      </c>
      <c r="G238" t="str">
        <v>Bondongan</v>
      </c>
      <c r="H238" t="str">
        <v>Bogor Selatan</v>
      </c>
      <c r="I238" t="str">
        <v>Bogor Kota</v>
      </c>
      <c r="J238" t="str">
        <v>Jawa Barat</v>
      </c>
      <c r="L238" t="str">
        <v xml:space="preserve">publik </v>
      </c>
      <c r="M238" t="str">
        <v>Maul</v>
      </c>
      <c r="N238" t="str">
        <v>non aktif</v>
      </c>
      <c r="CU238">
        <v>5</v>
      </c>
      <c r="CV238">
        <v>50000</v>
      </c>
      <c r="CX238">
        <v>2</v>
      </c>
      <c r="CY238">
        <v>15000</v>
      </c>
      <c r="DC238" t="str">
        <v>kosong</v>
      </c>
      <c r="DD238">
        <v>6</v>
      </c>
      <c r="DF238" t="str">
        <v>kosong</v>
      </c>
      <c r="DR238" t="str">
        <v>ditarik</v>
      </c>
    </row>
    <row r="239">
      <c r="A239">
        <v>169</v>
      </c>
      <c r="B239" s="1">
        <v>45455</v>
      </c>
      <c r="D239" t="str">
        <v>Wrng Ayam Merotol</v>
      </c>
      <c r="F239" t="str">
        <v>Jln. Pahlawan Bondongan</v>
      </c>
      <c r="G239" t="str">
        <v>Bondongan</v>
      </c>
      <c r="H239" t="str">
        <v>Bogor Selatan</v>
      </c>
      <c r="I239" t="str">
        <v>Bogor Kota</v>
      </c>
      <c r="J239" t="str">
        <v>Jawa Barat</v>
      </c>
      <c r="L239" t="str">
        <v xml:space="preserve">publik </v>
      </c>
      <c r="M239" t="str">
        <v>Maul</v>
      </c>
      <c r="N239" t="str">
        <v>non aktif</v>
      </c>
      <c r="DC239" t="str">
        <v>kosong</v>
      </c>
      <c r="DD239">
        <v>6</v>
      </c>
      <c r="DE239">
        <v>10000</v>
      </c>
      <c r="DR239" t="str">
        <v>ditarik</v>
      </c>
    </row>
    <row r="240">
      <c r="A240">
        <v>170</v>
      </c>
      <c r="B240" s="1">
        <v>45455</v>
      </c>
      <c r="D240" t="str">
        <v>Warung Bakso Keliling</v>
      </c>
      <c r="F240" t="str">
        <v>Jln. Pahlawan Bondongan</v>
      </c>
      <c r="G240" t="str">
        <v>Bondongan</v>
      </c>
      <c r="H240" t="str">
        <v>Bogor Selatan</v>
      </c>
      <c r="I240" t="str">
        <v>Bogor Kota</v>
      </c>
      <c r="J240" t="str">
        <v>Jawa Barat</v>
      </c>
      <c r="L240" t="str">
        <v xml:space="preserve">publik </v>
      </c>
      <c r="M240" t="str">
        <v>Maul</v>
      </c>
      <c r="N240" t="str">
        <v>non aktif</v>
      </c>
      <c r="CR240">
        <v>5</v>
      </c>
      <c r="CS240">
        <v>16500</v>
      </c>
      <c r="CU240">
        <v>5</v>
      </c>
      <c r="CV240">
        <v>2500</v>
      </c>
      <c r="DA240">
        <v>2</v>
      </c>
      <c r="DB240">
        <v>7500</v>
      </c>
      <c r="DR240" t="str">
        <v>kosong</v>
      </c>
      <c r="DU240" t="str">
        <v>kosong</v>
      </c>
    </row>
    <row r="241">
      <c r="A241">
        <v>171</v>
      </c>
      <c r="B241" s="1">
        <v>45456</v>
      </c>
      <c r="D241" t="str">
        <v>CAFFE GRON</v>
      </c>
      <c r="F241" t="str">
        <v>Jln. Pahlawan Bondongan</v>
      </c>
      <c r="G241" t="str">
        <v>Bondongan</v>
      </c>
      <c r="H241" t="str">
        <v>Bogor Selatan</v>
      </c>
      <c r="I241" t="str">
        <v>Bogor Kota</v>
      </c>
      <c r="J241" t="str">
        <v>Jawa Barat</v>
      </c>
      <c r="L241" t="str">
        <v xml:space="preserve">publik </v>
      </c>
      <c r="M241" t="str">
        <v>Maul</v>
      </c>
      <c r="N241" t="str">
        <v>non aktif</v>
      </c>
      <c r="CU241">
        <v>5</v>
      </c>
      <c r="CV241">
        <v>2500</v>
      </c>
      <c r="CX241">
        <v>2</v>
      </c>
      <c r="CY241">
        <v>1400</v>
      </c>
      <c r="DC241" t="str">
        <v>kosong</v>
      </c>
      <c r="DG241">
        <v>4</v>
      </c>
      <c r="DH241">
        <v>12000</v>
      </c>
      <c r="DJ241">
        <v>16</v>
      </c>
      <c r="DK241">
        <v>21000</v>
      </c>
      <c r="DM241">
        <v>19</v>
      </c>
      <c r="DN241">
        <v>20000</v>
      </c>
      <c r="DP241">
        <v>13</v>
      </c>
      <c r="DQ241">
        <v>17000</v>
      </c>
      <c r="DU241" t="str">
        <v>kosng</v>
      </c>
      <c r="DV241">
        <v>14</v>
      </c>
      <c r="EA241" t="str">
        <v>kosong</v>
      </c>
      <c r="EB241">
        <v>17</v>
      </c>
      <c r="ED241" t="str">
        <v>ditarik</v>
      </c>
    </row>
    <row r="242">
      <c r="A242">
        <v>172</v>
      </c>
      <c r="B242" s="1">
        <v>45456</v>
      </c>
      <c r="D242" t="str">
        <v>Toko sembako Raska/Warung Madura Diya/ sembako ita</v>
      </c>
      <c r="F242" t="str">
        <v>Jl Parakan Dampit</v>
      </c>
      <c r="G242" t="str">
        <v xml:space="preserve">Parakan </v>
      </c>
      <c r="H242" t="str">
        <v>Ciomas</v>
      </c>
      <c r="I242" t="str">
        <v>Kab Bogor</v>
      </c>
      <c r="J242" t="str">
        <v>Jawa Barat</v>
      </c>
      <c r="L242" t="str">
        <v xml:space="preserve">publik </v>
      </c>
      <c r="M242" t="str">
        <v>Maul</v>
      </c>
      <c r="N242" t="str">
        <v>aktif</v>
      </c>
      <c r="CU242">
        <v>5</v>
      </c>
      <c r="CV242">
        <v>5000</v>
      </c>
      <c r="CX242">
        <v>2</v>
      </c>
      <c r="CY242">
        <v>2000</v>
      </c>
      <c r="DA242">
        <v>3</v>
      </c>
      <c r="DB242">
        <v>3500</v>
      </c>
      <c r="DM242">
        <v>19</v>
      </c>
      <c r="DN242">
        <v>17000</v>
      </c>
      <c r="DP242">
        <v>17</v>
      </c>
      <c r="DQ242">
        <v>2000</v>
      </c>
      <c r="DS242">
        <v>22</v>
      </c>
      <c r="DT242">
        <v>5000</v>
      </c>
      <c r="DV242">
        <v>19</v>
      </c>
      <c r="DW242">
        <v>5000</v>
      </c>
      <c r="EA242" t="str">
        <v>kosong</v>
      </c>
      <c r="EH242">
        <v>17</v>
      </c>
      <c r="EJ242" t="str">
        <v>ditarik</v>
      </c>
      <c r="EK242">
        <v>24</v>
      </c>
      <c r="EM242" t="str">
        <v>penempatan</v>
      </c>
      <c r="EN242" t="str">
        <v>19  25</v>
      </c>
      <c r="EO242">
        <f>20000+11000</f>
        <v>31000</v>
      </c>
    </row>
    <row r="243">
      <c r="A243">
        <v>137</v>
      </c>
      <c r="B243" t="str">
        <v>25 juni 2024</v>
      </c>
      <c r="D243" t="str">
        <v>Warung makan doyong/ toko ratu madura</v>
      </c>
      <c r="F243" t="str">
        <v>Jl.Pahlawan 109/ jl pancasan</v>
      </c>
      <c r="G243" t="str">
        <v>Cikaret/pancasan</v>
      </c>
      <c r="H243" t="str">
        <v>Bogor selatan/ciomas</v>
      </c>
      <c r="I243" t="str">
        <v>Kab Bogor</v>
      </c>
      <c r="J243" t="str">
        <v>Jawa Barat</v>
      </c>
      <c r="L243" t="str">
        <v xml:space="preserve">publik </v>
      </c>
      <c r="M243" t="str">
        <v>Maul</v>
      </c>
      <c r="N243" t="str">
        <v>aktif</v>
      </c>
      <c r="CR243">
        <v>8</v>
      </c>
      <c r="CS243">
        <v>40000</v>
      </c>
      <c r="CU243">
        <v>5</v>
      </c>
      <c r="CV243">
        <v>42500</v>
      </c>
      <c r="DA243">
        <v>2</v>
      </c>
      <c r="DB243">
        <v>45000</v>
      </c>
      <c r="DD243">
        <v>6</v>
      </c>
      <c r="DE243">
        <v>24000</v>
      </c>
      <c r="DG243">
        <v>4</v>
      </c>
      <c r="DI243" t="str">
        <v>kosong</v>
      </c>
      <c r="DR243" t="str">
        <v>ditarik</v>
      </c>
      <c r="DU243" t="str">
        <v>ditarik</v>
      </c>
      <c r="DY243">
        <v>18</v>
      </c>
      <c r="EA243" t="str">
        <v>penempatan</v>
      </c>
      <c r="EB243">
        <v>17</v>
      </c>
      <c r="EC243">
        <v>34000</v>
      </c>
      <c r="EE243">
        <v>21</v>
      </c>
      <c r="EF243">
        <v>16000</v>
      </c>
      <c r="EH243">
        <v>19</v>
      </c>
      <c r="EI243">
        <v>18000</v>
      </c>
      <c r="EK243">
        <v>17</v>
      </c>
      <c r="EL243">
        <v>27000</v>
      </c>
      <c r="EN243">
        <v>13</v>
      </c>
      <c r="EO243">
        <v>32000</v>
      </c>
    </row>
    <row r="244">
      <c r="A244">
        <v>174</v>
      </c>
      <c r="B244" t="str">
        <v>25 juni 2024</v>
      </c>
      <c r="D244" t="str">
        <v xml:space="preserve">Toko obat adra Maut/Toko Madura Barokah </v>
      </c>
      <c r="F244" t="str">
        <v>Jl.Simpang Pancasan</v>
      </c>
      <c r="G244" t="str">
        <v xml:space="preserve">Pancasan </v>
      </c>
      <c r="H244" t="str">
        <v>Ciomas</v>
      </c>
      <c r="I244" t="str">
        <v>Kab Bogor</v>
      </c>
      <c r="J244" t="str">
        <v>Jawa Barat</v>
      </c>
      <c r="K244">
        <v>83875961666</v>
      </c>
      <c r="L244" t="str">
        <v xml:space="preserve">publik </v>
      </c>
      <c r="M244" t="str">
        <v>Maul</v>
      </c>
      <c r="N244" t="str">
        <v>non aktif</v>
      </c>
      <c r="DM244">
        <v>21</v>
      </c>
      <c r="DN244">
        <v>4000</v>
      </c>
      <c r="DO244" t="str">
        <v>Penempatan</v>
      </c>
      <c r="DP244">
        <v>9</v>
      </c>
      <c r="DR244" t="str">
        <v>kosong</v>
      </c>
      <c r="DU244" t="str">
        <v>tutup</v>
      </c>
      <c r="DX244" t="str">
        <v>kosong</v>
      </c>
      <c r="DY244">
        <v>25</v>
      </c>
      <c r="EA244" t="str">
        <v>pindah</v>
      </c>
    </row>
    <row r="245">
      <c r="A245">
        <v>175</v>
      </c>
      <c r="B245" s="1">
        <v>45497</v>
      </c>
      <c r="D245" t="str">
        <v>Warung makan Gohyong/ warung nafla syakira</v>
      </c>
      <c r="F245" t="str">
        <v>Jl Kapten Yusuf/ soemanti redja</v>
      </c>
      <c r="G245" t="str">
        <v>Taman Sari</v>
      </c>
      <c r="H245" t="str">
        <v>Bogor Selatan</v>
      </c>
      <c r="I245" t="str">
        <v>kab bogor</v>
      </c>
      <c r="J245" t="str">
        <v>Jawa Barat</v>
      </c>
      <c r="K245">
        <v>85903724555</v>
      </c>
      <c r="L245" t="str">
        <v xml:space="preserve">publik </v>
      </c>
      <c r="M245" t="str">
        <v>Maul</v>
      </c>
      <c r="N245" t="str">
        <v>aktif</v>
      </c>
      <c r="DO245" t="str">
        <v>ditarik</v>
      </c>
      <c r="EK245">
        <v>24</v>
      </c>
      <c r="EM245" t="str">
        <v>penempatan</v>
      </c>
      <c r="EN245">
        <v>18</v>
      </c>
      <c r="EO245">
        <v>13000</v>
      </c>
    </row>
    <row r="246">
      <c r="A246">
        <v>176</v>
      </c>
      <c r="B246" s="1">
        <v>45574</v>
      </c>
      <c r="D246" t="str">
        <v>Majlis Taklim Kasam Blangka/ tb cahaya abadi</v>
      </c>
      <c r="F246" t="str">
        <v>kp Pala Sari</v>
      </c>
      <c r="G246" t="str">
        <v>Pala Sari</v>
      </c>
      <c r="H246" t="str">
        <v>Cijeruk</v>
      </c>
      <c r="I246" t="str">
        <v>kab bogor</v>
      </c>
      <c r="J246" t="str">
        <v>Jawa Barat</v>
      </c>
      <c r="L246" t="str">
        <v>home</v>
      </c>
      <c r="M246" t="str">
        <v>Maul/ firdaus</v>
      </c>
      <c r="N246" t="str">
        <v>aktif</v>
      </c>
      <c r="EK246">
        <v>24</v>
      </c>
      <c r="EM246" t="str">
        <v>penempatan</v>
      </c>
      <c r="EN246">
        <v>18</v>
      </c>
      <c r="EO246">
        <v>16500</v>
      </c>
    </row>
    <row r="247">
      <c r="A247">
        <v>138</v>
      </c>
      <c r="B247" s="1">
        <v>45503</v>
      </c>
      <c r="D247" t="str">
        <v>De Caffe / Warung Nafisya</v>
      </c>
      <c r="F247" t="str">
        <v>Cipayung</v>
      </c>
      <c r="G247" t="str">
        <v>Ciapus</v>
      </c>
      <c r="H247" t="str">
        <v>Taman Sari</v>
      </c>
      <c r="I247" t="str">
        <v>kab bogor</v>
      </c>
      <c r="J247" t="str">
        <v>Jawa Barat</v>
      </c>
      <c r="K247" t="str">
        <v>0858 13719795</v>
      </c>
      <c r="L247" t="str">
        <v xml:space="preserve">publik </v>
      </c>
      <c r="M247" t="str">
        <v>Maul</v>
      </c>
      <c r="N247" t="str">
        <v>non aktif</v>
      </c>
      <c r="CW247" t="str">
        <v>kosong</v>
      </c>
      <c r="DG247">
        <v>19</v>
      </c>
      <c r="DH247">
        <v>4500</v>
      </c>
      <c r="DU247" t="str">
        <v>kosong</v>
      </c>
      <c r="EA247" t="str">
        <v>belum ketemu</v>
      </c>
      <c r="EJ247" t="str">
        <v>g ktemu</v>
      </c>
    </row>
    <row r="248">
      <c r="A248">
        <v>139</v>
      </c>
      <c r="B248" s="1">
        <v>45503</v>
      </c>
      <c r="D248" t="str">
        <v>Restauran Kedai Sunda</v>
      </c>
      <c r="F248" t="str">
        <v>Jl raya Tajur (sebelah spbu lorena)</v>
      </c>
      <c r="G248" t="str">
        <v>Tajur</v>
      </c>
      <c r="H248" t="str">
        <v>Bogor Timur</v>
      </c>
      <c r="I248" t="str">
        <v>Kota Bogor</v>
      </c>
      <c r="J248" t="str">
        <v>Jawa Barat</v>
      </c>
      <c r="K248" t="str">
        <v>0817 163978</v>
      </c>
      <c r="L248" t="str">
        <v xml:space="preserve">publik </v>
      </c>
      <c r="M248" t="str">
        <v>Maul</v>
      </c>
      <c r="N248" t="str">
        <v>aktif</v>
      </c>
      <c r="CU248">
        <v>14</v>
      </c>
      <c r="CV248">
        <v>21000</v>
      </c>
      <c r="CX248">
        <v>10</v>
      </c>
      <c r="CY248">
        <v>6500</v>
      </c>
      <c r="DA248">
        <v>11</v>
      </c>
      <c r="DB248">
        <v>6000</v>
      </c>
      <c r="DD248">
        <v>11</v>
      </c>
      <c r="DE248">
        <v>4000</v>
      </c>
      <c r="DG248">
        <v>13</v>
      </c>
      <c r="DH248">
        <v>9500</v>
      </c>
      <c r="DM248">
        <v>20</v>
      </c>
      <c r="DN248">
        <v>19000</v>
      </c>
      <c r="DP248">
        <v>13</v>
      </c>
      <c r="DQ248">
        <v>3500</v>
      </c>
      <c r="DS248">
        <v>15</v>
      </c>
      <c r="DT248">
        <v>7500</v>
      </c>
      <c r="DV248">
        <v>14</v>
      </c>
      <c r="DW248">
        <v>14000</v>
      </c>
      <c r="DY248">
        <v>16</v>
      </c>
      <c r="DZ248">
        <v>3000</v>
      </c>
      <c r="EB248">
        <v>17</v>
      </c>
      <c r="EC248">
        <v>11500</v>
      </c>
      <c r="EE248">
        <v>20</v>
      </c>
      <c r="EF248">
        <v>9000</v>
      </c>
      <c r="EH248">
        <v>16</v>
      </c>
      <c r="EI248">
        <v>7000</v>
      </c>
      <c r="EN248">
        <v>14</v>
      </c>
      <c r="EP248" t="str">
        <v>kosong</v>
      </c>
    </row>
    <row r="249">
      <c r="A249">
        <v>140</v>
      </c>
      <c r="B249" s="1">
        <v>45503</v>
      </c>
      <c r="D249" t="str">
        <v>Warung Ayam Gepuk Pak Gembus</v>
      </c>
      <c r="F249" t="str">
        <v>Jl raya Tajur</v>
      </c>
      <c r="G249" t="str">
        <v>Tajur</v>
      </c>
      <c r="H249" t="str">
        <v>Bogor Timur</v>
      </c>
      <c r="I249" t="str">
        <v>Kota Bogor</v>
      </c>
      <c r="J249" t="str">
        <v>Jawa Barat</v>
      </c>
      <c r="K249" t="str">
        <v>0857 82710647</v>
      </c>
      <c r="L249" t="str">
        <v xml:space="preserve">publik </v>
      </c>
      <c r="M249" t="str">
        <v>Maul</v>
      </c>
      <c r="N249" t="str">
        <v>aktif</v>
      </c>
      <c r="CU249">
        <v>14</v>
      </c>
      <c r="CV249">
        <v>3000</v>
      </c>
      <c r="DU249" t="str">
        <v>tutup</v>
      </c>
      <c r="DV249">
        <v>14</v>
      </c>
      <c r="DW249">
        <v>25000</v>
      </c>
      <c r="EA249" t="str">
        <v>kosong</v>
      </c>
      <c r="EB249">
        <v>17</v>
      </c>
      <c r="EC249">
        <v>12500</v>
      </c>
      <c r="EE249">
        <v>20</v>
      </c>
      <c r="EF249">
        <v>11000</v>
      </c>
      <c r="EH249">
        <v>16</v>
      </c>
      <c r="EJ249" t="str">
        <v>kosong</v>
      </c>
      <c r="EK249">
        <v>15</v>
      </c>
      <c r="EM249" t="str">
        <v>kosong</v>
      </c>
      <c r="EN249">
        <v>14</v>
      </c>
      <c r="EP249" t="str">
        <v>tutup</v>
      </c>
    </row>
    <row r="250">
      <c r="A250">
        <v>141</v>
      </c>
      <c r="B250" t="str">
        <v>1 Agustus 2024</v>
      </c>
      <c r="D250" t="str">
        <v>Warung Ayam geprek Sambal ijo (Aqmar)</v>
      </c>
      <c r="F250" t="str">
        <v>Jl Kolonel Bustomi Kp Badak</v>
      </c>
      <c r="G250" t="str">
        <v>warung menteng</v>
      </c>
      <c r="H250" t="str">
        <v>Bogor Selatan</v>
      </c>
      <c r="I250" t="str">
        <v>Kota Bogor</v>
      </c>
      <c r="J250" t="str">
        <v>Jawa Barat</v>
      </c>
      <c r="K250">
        <v>88298198101</v>
      </c>
      <c r="L250" t="str">
        <v xml:space="preserve">publik </v>
      </c>
      <c r="M250" t="str">
        <v>Maul</v>
      </c>
      <c r="N250" t="str">
        <v>aktif</v>
      </c>
      <c r="CU250">
        <v>19</v>
      </c>
      <c r="CV250">
        <v>50500</v>
      </c>
      <c r="CX250">
        <v>9</v>
      </c>
      <c r="CY250">
        <v>9000</v>
      </c>
      <c r="DA250">
        <v>8</v>
      </c>
      <c r="DB250">
        <v>13500</v>
      </c>
      <c r="DG250">
        <v>28</v>
      </c>
      <c r="DH250">
        <v>18500</v>
      </c>
      <c r="DJ250">
        <v>16</v>
      </c>
      <c r="DK250">
        <v>30000</v>
      </c>
      <c r="DM250">
        <v>21</v>
      </c>
      <c r="DN250">
        <v>88000</v>
      </c>
      <c r="DP250">
        <v>19</v>
      </c>
      <c r="DR250" t="str">
        <v>kosong</v>
      </c>
      <c r="DS250">
        <v>17</v>
      </c>
      <c r="DT250">
        <v>133500</v>
      </c>
      <c r="DV250">
        <v>16</v>
      </c>
      <c r="DW250">
        <v>78000</v>
      </c>
      <c r="DY250">
        <v>19</v>
      </c>
      <c r="DZ250">
        <v>87000</v>
      </c>
      <c r="EB250">
        <v>21</v>
      </c>
      <c r="EC250">
        <v>92500</v>
      </c>
      <c r="EE250">
        <v>20</v>
      </c>
      <c r="EF250">
        <v>62000</v>
      </c>
      <c r="EH250">
        <v>22</v>
      </c>
      <c r="EI250">
        <v>74000</v>
      </c>
      <c r="EK250">
        <v>20</v>
      </c>
      <c r="EL250">
        <v>58000</v>
      </c>
      <c r="EN250">
        <v>18</v>
      </c>
      <c r="EO250">
        <v>82000</v>
      </c>
    </row>
    <row r="251">
      <c r="A251">
        <v>142</v>
      </c>
      <c r="B251" t="str">
        <v>1 Agustus 2024</v>
      </c>
      <c r="D251" t="str">
        <v>Warung Padang Garuda Jaya</v>
      </c>
      <c r="F251" t="str">
        <v>jl. KH.Halimi</v>
      </c>
      <c r="G251" t="str">
        <v>Desa Cipelang</v>
      </c>
      <c r="H251" t="str">
        <v>Bogor Selatan</v>
      </c>
      <c r="I251" t="str">
        <v>Kota Bogor</v>
      </c>
      <c r="J251" t="str">
        <v>Jawa Barat</v>
      </c>
      <c r="K251">
        <v>81410490144</v>
      </c>
      <c r="L251" t="str">
        <v xml:space="preserve">publik </v>
      </c>
      <c r="M251" t="str">
        <v>Maul</v>
      </c>
      <c r="N251" t="str">
        <v>aktif</v>
      </c>
      <c r="CU251">
        <v>19</v>
      </c>
      <c r="CV251">
        <v>10500</v>
      </c>
      <c r="CX251">
        <v>9</v>
      </c>
      <c r="CY251">
        <v>16000</v>
      </c>
      <c r="DA251">
        <v>8</v>
      </c>
      <c r="DB251">
        <v>67000</v>
      </c>
      <c r="DD251">
        <v>13</v>
      </c>
      <c r="DE251">
        <v>15000</v>
      </c>
      <c r="DG251">
        <v>13</v>
      </c>
      <c r="DH251">
        <v>19000</v>
      </c>
      <c r="DJ251">
        <v>16</v>
      </c>
      <c r="DK251">
        <v>34000</v>
      </c>
      <c r="DM251">
        <v>21</v>
      </c>
      <c r="DN251">
        <v>15000</v>
      </c>
      <c r="DP251">
        <v>19</v>
      </c>
      <c r="DR251" t="str">
        <v>kosong</v>
      </c>
      <c r="DS251">
        <v>17</v>
      </c>
      <c r="DT251">
        <v>13000</v>
      </c>
      <c r="DV251">
        <v>16</v>
      </c>
      <c r="DW251">
        <v>18000</v>
      </c>
      <c r="DY251">
        <v>19</v>
      </c>
      <c r="DZ251">
        <v>33000</v>
      </c>
      <c r="EB251">
        <v>21</v>
      </c>
      <c r="EC251">
        <v>10500</v>
      </c>
      <c r="EE251">
        <v>20</v>
      </c>
      <c r="EF251">
        <v>18000</v>
      </c>
      <c r="EH251">
        <v>22</v>
      </c>
      <c r="EI251">
        <v>26000</v>
      </c>
      <c r="EK251">
        <v>20</v>
      </c>
      <c r="EL251">
        <v>21000</v>
      </c>
      <c r="EN251">
        <v>18</v>
      </c>
      <c r="EO251">
        <v>26000</v>
      </c>
    </row>
    <row r="252">
      <c r="A252">
        <v>143</v>
      </c>
      <c r="B252" t="str">
        <v>2 Agustus 2024</v>
      </c>
      <c r="D252" t="str">
        <v>RM Padang Family baru</v>
      </c>
      <c r="F252" t="str">
        <v>Jl Cagag,Cijeruk</v>
      </c>
      <c r="G252" t="str">
        <v>Palasari</v>
      </c>
      <c r="H252" t="str">
        <v>Bogor Selatan</v>
      </c>
      <c r="I252" t="str">
        <v>Kota Bogor</v>
      </c>
      <c r="J252" t="str">
        <v>Jawa Barat</v>
      </c>
      <c r="K252">
        <v>85376744544</v>
      </c>
      <c r="L252" t="str">
        <v xml:space="preserve">publik </v>
      </c>
      <c r="M252" t="str">
        <v>Maul</v>
      </c>
      <c r="N252" t="str">
        <v>aktif</v>
      </c>
      <c r="CX252">
        <v>9</v>
      </c>
      <c r="CY252">
        <v>31000</v>
      </c>
      <c r="DA252">
        <v>10</v>
      </c>
      <c r="DB252">
        <v>24000</v>
      </c>
      <c r="DD252">
        <v>13</v>
      </c>
      <c r="DE252">
        <v>19000</v>
      </c>
      <c r="DG252">
        <v>10</v>
      </c>
      <c r="DH252">
        <v>14000</v>
      </c>
      <c r="DJ252">
        <v>16</v>
      </c>
      <c r="DK252">
        <v>47000</v>
      </c>
      <c r="DM252">
        <v>21</v>
      </c>
      <c r="DN252">
        <v>19000</v>
      </c>
      <c r="DP252">
        <v>19</v>
      </c>
      <c r="DR252" t="str">
        <v>kosong</v>
      </c>
      <c r="DU252" t="str">
        <v>tutup</v>
      </c>
      <c r="DV252">
        <v>16</v>
      </c>
      <c r="DW252">
        <v>22000</v>
      </c>
      <c r="DY252">
        <v>19</v>
      </c>
      <c r="DZ252">
        <v>20000</v>
      </c>
      <c r="EB252">
        <v>21</v>
      </c>
      <c r="EC252">
        <v>33000</v>
      </c>
      <c r="EH252">
        <v>22</v>
      </c>
      <c r="EI252">
        <v>31500</v>
      </c>
      <c r="EK252">
        <v>20</v>
      </c>
      <c r="EL252">
        <v>18000</v>
      </c>
      <c r="EN252">
        <v>18</v>
      </c>
      <c r="EO252">
        <v>8000</v>
      </c>
    </row>
    <row r="253">
      <c r="A253">
        <v>144</v>
      </c>
      <c r="B253" t="str">
        <v>2 Agustus 2024</v>
      </c>
      <c r="D253" t="str">
        <v>Warung Sembako Kang Maman</v>
      </c>
      <c r="F253" t="str">
        <v>Jl RE.Soemantadiredja Rt 01 Rw 02</v>
      </c>
      <c r="G253" t="str">
        <v>Palasari</v>
      </c>
      <c r="H253" t="str">
        <v>Bogor Selatan</v>
      </c>
      <c r="I253" t="str">
        <v>Kota Bogor</v>
      </c>
      <c r="J253" t="str">
        <v>Jawa Barat</v>
      </c>
      <c r="K253">
        <v>81213951054</v>
      </c>
      <c r="L253" t="str">
        <v xml:space="preserve">publik </v>
      </c>
      <c r="M253" t="str">
        <v>Maul</v>
      </c>
      <c r="N253" t="str">
        <v>aktif</v>
      </c>
      <c r="CX253">
        <v>9</v>
      </c>
      <c r="CY253">
        <v>1000</v>
      </c>
      <c r="DA253">
        <v>8</v>
      </c>
      <c r="DB253">
        <v>10500</v>
      </c>
      <c r="DD253">
        <v>13</v>
      </c>
      <c r="DE253">
        <v>34500</v>
      </c>
      <c r="DJ253">
        <v>16</v>
      </c>
      <c r="DK253">
        <v>58000</v>
      </c>
      <c r="DM253">
        <v>21</v>
      </c>
      <c r="DN253">
        <v>108000</v>
      </c>
      <c r="DP253">
        <v>19</v>
      </c>
      <c r="DQ253">
        <v>100000</v>
      </c>
      <c r="DS253">
        <v>17</v>
      </c>
      <c r="DT253">
        <v>11000</v>
      </c>
      <c r="DV253">
        <v>16</v>
      </c>
      <c r="DW253">
        <v>8000</v>
      </c>
      <c r="DY253">
        <v>19</v>
      </c>
      <c r="DZ253">
        <v>24000</v>
      </c>
      <c r="EB253">
        <v>21</v>
      </c>
      <c r="EC253">
        <v>11000</v>
      </c>
      <c r="EE253">
        <v>20</v>
      </c>
      <c r="EF253">
        <v>21000</v>
      </c>
      <c r="EH253">
        <v>22</v>
      </c>
      <c r="EI253">
        <v>8500</v>
      </c>
      <c r="EK253">
        <v>20</v>
      </c>
      <c r="EM253" t="str">
        <v>kosong</v>
      </c>
      <c r="EN253">
        <v>14</v>
      </c>
      <c r="EO253">
        <v>75500</v>
      </c>
    </row>
    <row r="254">
      <c r="A254">
        <v>145</v>
      </c>
      <c r="B254" t="str">
        <v>14 Agustus 2024</v>
      </c>
      <c r="D254" t="str">
        <v>Warteg Putra bahari</v>
      </c>
      <c r="F254" t="str">
        <v xml:space="preserve">Jl Tajur </v>
      </c>
      <c r="G254" t="str">
        <v xml:space="preserve">Tajur </v>
      </c>
      <c r="H254" t="str">
        <v>Bogor Timur</v>
      </c>
      <c r="I254" t="str">
        <v>Kota bogor</v>
      </c>
      <c r="J254" t="str">
        <v>Jawa Barat</v>
      </c>
      <c r="K254">
        <v>89611542431</v>
      </c>
      <c r="L254" t="str">
        <v>publik</v>
      </c>
      <c r="M254" t="str">
        <v>Maul</v>
      </c>
      <c r="N254" t="str">
        <v>aktif</v>
      </c>
      <c r="CX254">
        <v>10</v>
      </c>
      <c r="CY254">
        <v>6000</v>
      </c>
      <c r="DA254">
        <v>11</v>
      </c>
      <c r="DB254">
        <v>31500</v>
      </c>
      <c r="DD254">
        <v>11</v>
      </c>
      <c r="DE254">
        <v>12000</v>
      </c>
      <c r="DG254">
        <v>13</v>
      </c>
      <c r="DH254">
        <v>10000</v>
      </c>
      <c r="DJ254">
        <v>16</v>
      </c>
      <c r="DK254">
        <v>21000</v>
      </c>
      <c r="DM254">
        <v>20</v>
      </c>
      <c r="DN254">
        <v>33000</v>
      </c>
      <c r="DP254">
        <v>13</v>
      </c>
      <c r="DQ254">
        <v>37000</v>
      </c>
      <c r="DU254" t="str">
        <v>kosong</v>
      </c>
      <c r="DV254">
        <v>14</v>
      </c>
      <c r="DW254">
        <v>113000</v>
      </c>
      <c r="DY254">
        <v>16</v>
      </c>
      <c r="DZ254">
        <v>73000</v>
      </c>
      <c r="EB254">
        <v>17</v>
      </c>
      <c r="EC254">
        <v>66000</v>
      </c>
      <c r="EE254">
        <v>20</v>
      </c>
      <c r="EF254">
        <v>54000</v>
      </c>
      <c r="EH254">
        <v>16</v>
      </c>
      <c r="EI254">
        <v>45000</v>
      </c>
      <c r="EK254">
        <v>15</v>
      </c>
      <c r="EL254">
        <v>56000</v>
      </c>
      <c r="EN254">
        <v>14</v>
      </c>
      <c r="EO254">
        <v>49000</v>
      </c>
    </row>
    <row r="255">
      <c r="A255">
        <v>146</v>
      </c>
      <c r="B255" t="str">
        <v>6 Agustus 2024</v>
      </c>
      <c r="D255" t="str">
        <v>Toko Mebel Cahaya Rumah / herman</v>
      </c>
      <c r="F255" t="str">
        <v xml:space="preserve">Jl Tajur </v>
      </c>
      <c r="G255" t="str">
        <v xml:space="preserve">Tajur </v>
      </c>
      <c r="H255" t="str">
        <v>Bogor Timur</v>
      </c>
      <c r="I255" t="str">
        <v>Kota bogor</v>
      </c>
      <c r="J255" t="str">
        <v>Jawa Barat</v>
      </c>
      <c r="K255">
        <v>87760254599</v>
      </c>
      <c r="L255" t="str">
        <v>publik</v>
      </c>
      <c r="M255" t="str">
        <v>Maul</v>
      </c>
      <c r="N255" t="str">
        <v>non aktif</v>
      </c>
      <c r="CX255">
        <v>10</v>
      </c>
      <c r="CY255">
        <v>16000</v>
      </c>
      <c r="DA255">
        <v>11</v>
      </c>
      <c r="DB255">
        <v>28000</v>
      </c>
      <c r="DD255">
        <v>20</v>
      </c>
      <c r="DF255" t="str">
        <v>kosong</v>
      </c>
      <c r="DJ255">
        <v>16</v>
      </c>
      <c r="DK255">
        <v>10000</v>
      </c>
      <c r="DR255" t="str">
        <v>kosong</v>
      </c>
      <c r="DS255">
        <v>15</v>
      </c>
      <c r="DT255">
        <v>4000</v>
      </c>
      <c r="DV255">
        <v>14</v>
      </c>
      <c r="DW255">
        <v>2000</v>
      </c>
      <c r="EA255" t="str">
        <v>kosong</v>
      </c>
      <c r="EB255">
        <v>17</v>
      </c>
      <c r="EC255">
        <v>20000</v>
      </c>
      <c r="EE255">
        <v>20</v>
      </c>
      <c r="EG255" t="str">
        <v>kosong</v>
      </c>
      <c r="EH255">
        <v>16</v>
      </c>
      <c r="EJ255" t="str">
        <v>kosong</v>
      </c>
      <c r="EK255">
        <v>15</v>
      </c>
      <c r="EM255" t="str">
        <v>kosong</v>
      </c>
      <c r="EN255">
        <v>14</v>
      </c>
      <c r="EP255" t="str">
        <v>ditarik</v>
      </c>
    </row>
    <row r="256">
      <c r="A256">
        <v>147</v>
      </c>
      <c r="B256" t="str">
        <v>12 Agustus 2024</v>
      </c>
      <c r="D256" t="str">
        <v>Warung makan Tegal Ganesha</v>
      </c>
      <c r="F256" t="str">
        <v>jl Pamoyanan/Batu Tulis</v>
      </c>
      <c r="H256" t="str">
        <v xml:space="preserve">Batu Tulis </v>
      </c>
      <c r="I256" t="str">
        <v>Kota bogor</v>
      </c>
      <c r="J256" t="str">
        <v>Jawa Barat</v>
      </c>
      <c r="M256" t="str">
        <v>Maul</v>
      </c>
      <c r="N256" t="str">
        <v>aktif</v>
      </c>
      <c r="CU256">
        <v>12</v>
      </c>
      <c r="CV256">
        <v>1500</v>
      </c>
      <c r="DA256">
        <v>8</v>
      </c>
      <c r="DB256">
        <v>11500</v>
      </c>
      <c r="DD256">
        <v>7</v>
      </c>
      <c r="DE256">
        <v>12000</v>
      </c>
      <c r="DU256" t="str">
        <v>tutup</v>
      </c>
      <c r="EA256" t="str">
        <v>kosong</v>
      </c>
      <c r="EB256">
        <v>21</v>
      </c>
      <c r="EC256">
        <v>10000</v>
      </c>
      <c r="EH256">
        <v>22</v>
      </c>
      <c r="EI256">
        <v>20000</v>
      </c>
      <c r="EK256">
        <v>20</v>
      </c>
      <c r="EL256">
        <v>38000</v>
      </c>
      <c r="EN256">
        <v>18</v>
      </c>
      <c r="EO256">
        <v>41000</v>
      </c>
    </row>
    <row r="257">
      <c r="A257">
        <v>148</v>
      </c>
      <c r="B257" t="str">
        <v>28 juni 2024</v>
      </c>
      <c r="D257" t="str">
        <v>Toko bangunan harapan Jaya (elektronik)</v>
      </c>
      <c r="F257" t="str">
        <v>Jl Batu Tulis</v>
      </c>
      <c r="G257" t="str">
        <v xml:space="preserve">Batu tulis </v>
      </c>
      <c r="H257" t="str">
        <v xml:space="preserve">Bogor Selatan </v>
      </c>
      <c r="I257" t="str">
        <v>Bogor Kota</v>
      </c>
      <c r="J257" t="str">
        <v>Jawa Barat</v>
      </c>
      <c r="K257">
        <v>82285666838</v>
      </c>
      <c r="L257" t="str">
        <v xml:space="preserve">publik </v>
      </c>
      <c r="M257" t="str">
        <v>Maul</v>
      </c>
      <c r="N257" t="str">
        <v>non aktif</v>
      </c>
      <c r="CR257">
        <v>16</v>
      </c>
      <c r="CS257">
        <v>1000</v>
      </c>
      <c r="CU257">
        <v>12</v>
      </c>
      <c r="CV257">
        <v>5000</v>
      </c>
      <c r="CX257">
        <v>4</v>
      </c>
      <c r="CY257">
        <v>200000</v>
      </c>
      <c r="DC257" t="str">
        <v>kosong</v>
      </c>
      <c r="DD257">
        <v>11</v>
      </c>
      <c r="DE257">
        <v>200000</v>
      </c>
      <c r="DM257">
        <v>21</v>
      </c>
      <c r="DN257">
        <v>100000</v>
      </c>
      <c r="DR257" t="str">
        <v>kosong</v>
      </c>
      <c r="DS257">
        <v>17</v>
      </c>
      <c r="DU257" t="str">
        <v>kosong</v>
      </c>
      <c r="DV257">
        <v>16</v>
      </c>
      <c r="DW257">
        <v>5000</v>
      </c>
      <c r="EA257" t="str">
        <v>kosong</v>
      </c>
      <c r="ED257" t="str">
        <v>kosong</v>
      </c>
      <c r="EP257" t="str">
        <v>ditarik</v>
      </c>
    </row>
    <row r="258">
      <c r="A258">
        <v>149</v>
      </c>
      <c r="B258" s="1">
        <v>45764</v>
      </c>
      <c r="D258" t="str">
        <v>Minyak Wangi Handi / Toko Lubis</v>
      </c>
      <c r="F258" t="str">
        <v>jl. gunung gadul</v>
      </c>
      <c r="G258" t="str">
        <v>Cipaku</v>
      </c>
      <c r="H258" t="str">
        <v xml:space="preserve">Bogor Selatan </v>
      </c>
      <c r="I258" t="str">
        <v>Bogor Kota</v>
      </c>
      <c r="J258" t="str">
        <v>Jawa Barat</v>
      </c>
      <c r="K258" t="str">
        <v>0812 10547474</v>
      </c>
      <c r="L258" t="str">
        <v xml:space="preserve">publik </v>
      </c>
      <c r="M258" t="str">
        <v>Maul</v>
      </c>
      <c r="N258" t="str">
        <v>aktif</v>
      </c>
      <c r="CX258">
        <v>4</v>
      </c>
      <c r="CY258">
        <v>1500</v>
      </c>
      <c r="DA258">
        <v>8</v>
      </c>
      <c r="DB258">
        <v>17500</v>
      </c>
      <c r="DD258">
        <v>20</v>
      </c>
      <c r="DF258" t="str">
        <v>kosong</v>
      </c>
      <c r="DO258" t="str">
        <v>ditarik</v>
      </c>
      <c r="DV258">
        <v>16</v>
      </c>
      <c r="DW258">
        <v>34000</v>
      </c>
      <c r="EA258" t="str">
        <v>kosong</v>
      </c>
      <c r="EB258">
        <v>22</v>
      </c>
      <c r="EC258">
        <v>20000</v>
      </c>
    </row>
    <row r="259">
      <c r="A259">
        <v>150</v>
      </c>
      <c r="B259" t="str">
        <v xml:space="preserve"> 4Juli 2024</v>
      </c>
      <c r="D259" t="str">
        <v>Toko Nano cell / Toko Lubis</v>
      </c>
      <c r="F259" t="str">
        <v>Jl. Cipaku</v>
      </c>
      <c r="G259" t="str">
        <v>Cipaku</v>
      </c>
      <c r="H259" t="str">
        <v xml:space="preserve">Bogor Selatan </v>
      </c>
      <c r="I259" t="str">
        <v>Bogor Kota</v>
      </c>
      <c r="J259" t="str">
        <v>Jawa Barat</v>
      </c>
      <c r="K259" t="str">
        <v>0812 1054 7474</v>
      </c>
      <c r="L259" t="str">
        <v xml:space="preserve">publik </v>
      </c>
      <c r="M259" t="str">
        <v>Maul</v>
      </c>
      <c r="N259" t="str">
        <v>aktif</v>
      </c>
      <c r="CX259">
        <v>11</v>
      </c>
      <c r="CY259">
        <v>10000</v>
      </c>
      <c r="DA259">
        <v>7</v>
      </c>
      <c r="DC259" t="str">
        <v>kosong</v>
      </c>
      <c r="DO259" t="str">
        <v>ditarik</v>
      </c>
      <c r="DS259">
        <v>17</v>
      </c>
      <c r="DT259">
        <v>24000</v>
      </c>
      <c r="EA259" t="str">
        <v>kosong</v>
      </c>
      <c r="EE259">
        <v>21</v>
      </c>
      <c r="EF259">
        <v>16000</v>
      </c>
      <c r="EH259">
        <v>22</v>
      </c>
      <c r="EI259">
        <v>28000</v>
      </c>
      <c r="EK259">
        <v>20</v>
      </c>
      <c r="EL259">
        <v>10000</v>
      </c>
      <c r="EN259">
        <v>19</v>
      </c>
      <c r="EO259">
        <v>5000</v>
      </c>
    </row>
    <row r="260">
      <c r="A260">
        <v>189</v>
      </c>
      <c r="B260" t="str">
        <v xml:space="preserve"> 4Juli 2024</v>
      </c>
      <c r="D260" t="str">
        <v>Warung sate Sop kambing Adi kumis/ AGUS JIWO</v>
      </c>
      <c r="F260" t="str">
        <v>Jl. Sukasari deket terminal sukasari/ MAMPANG PEREMPATAN</v>
      </c>
      <c r="G260" t="str">
        <v>sukasari</v>
      </c>
      <c r="H260" t="str">
        <v xml:space="preserve">Bogor Selatan </v>
      </c>
      <c r="I260" t="str">
        <v>Bogor Kota</v>
      </c>
      <c r="J260" t="str">
        <v>Jawa Barat</v>
      </c>
      <c r="L260" t="str">
        <v xml:space="preserve">publik </v>
      </c>
      <c r="M260" t="str">
        <v>Maul/ FIRDAUS</v>
      </c>
      <c r="N260" t="str">
        <v>aktif</v>
      </c>
      <c r="CR260">
        <v>5</v>
      </c>
      <c r="CS260">
        <v>4000</v>
      </c>
      <c r="CU260">
        <v>5</v>
      </c>
      <c r="CV260">
        <v>4000</v>
      </c>
      <c r="DC260" t="str">
        <v>kosong</v>
      </c>
      <c r="DD260">
        <v>6</v>
      </c>
      <c r="DE260">
        <v>23000</v>
      </c>
      <c r="DG260">
        <v>4</v>
      </c>
      <c r="DI260" t="str">
        <v>kosong</v>
      </c>
      <c r="DJ260">
        <v>16</v>
      </c>
      <c r="DK260">
        <v>11000</v>
      </c>
      <c r="DM260">
        <v>19</v>
      </c>
      <c r="DN260">
        <v>16000</v>
      </c>
      <c r="DP260">
        <v>13</v>
      </c>
      <c r="DQ260">
        <v>18000</v>
      </c>
      <c r="DS260">
        <v>15</v>
      </c>
      <c r="DT260">
        <v>11000</v>
      </c>
      <c r="DV260">
        <v>14</v>
      </c>
      <c r="DW260">
        <v>12000</v>
      </c>
      <c r="EA260" t="str">
        <v>kosong</v>
      </c>
      <c r="EB260">
        <v>17</v>
      </c>
      <c r="ED260" t="str">
        <v>ditarik</v>
      </c>
      <c r="EN260">
        <v>3</v>
      </c>
      <c r="EO260">
        <v>100000</v>
      </c>
      <c r="EP260" t="str">
        <v>PENEMPATAN</v>
      </c>
    </row>
    <row r="261">
      <c r="A261">
        <v>151</v>
      </c>
      <c r="B261" t="str">
        <v xml:space="preserve"> 3 Juli 2024</v>
      </c>
      <c r="D261" t="str">
        <v>Warung Nasi Saluyu (deket chiken)</v>
      </c>
      <c r="F261" t="str">
        <v>Jl.Dekeng Rt 02 rw deket kuburan cina</v>
      </c>
      <c r="G261" t="str">
        <v xml:space="preserve">Gintung </v>
      </c>
      <c r="H261" t="str">
        <v>Bogor Selatan</v>
      </c>
      <c r="I261" t="str">
        <v>Bogor Kota</v>
      </c>
      <c r="J261" t="str">
        <v>Jawa Barat</v>
      </c>
      <c r="K261">
        <v>83875006100</v>
      </c>
      <c r="L261" t="str">
        <v xml:space="preserve">publik </v>
      </c>
      <c r="M261" t="str">
        <v>Maul</v>
      </c>
      <c r="N261" t="str">
        <v>non aktif</v>
      </c>
      <c r="CX261">
        <v>11</v>
      </c>
      <c r="CY261">
        <v>3500</v>
      </c>
      <c r="DC261" t="str">
        <v>kosong</v>
      </c>
      <c r="DD261">
        <v>20</v>
      </c>
      <c r="DE261">
        <v>5000</v>
      </c>
      <c r="DR261" t="str">
        <v>kosong</v>
      </c>
      <c r="DU261" t="str">
        <v>tutup</v>
      </c>
      <c r="EA261" t="str">
        <v>kosong</v>
      </c>
      <c r="EB261">
        <v>21</v>
      </c>
      <c r="ED261" t="str">
        <v>kosong</v>
      </c>
      <c r="EP261" t="str">
        <v>ditarik</v>
      </c>
    </row>
    <row r="262">
      <c r="A262">
        <v>152</v>
      </c>
      <c r="B262" t="str">
        <v xml:space="preserve"> 3 Juli 2024</v>
      </c>
      <c r="D262" t="str">
        <v>Bunda Gisna (Kelontong)/ toko src rifki</v>
      </c>
      <c r="F262" t="str">
        <v>Jl Raya Cipaku/ kretek kelor</v>
      </c>
      <c r="G262" t="str">
        <v xml:space="preserve">Gintung </v>
      </c>
      <c r="H262" t="str">
        <v>Bogor Selatan</v>
      </c>
      <c r="I262" t="str">
        <v>Bogor Kota</v>
      </c>
      <c r="J262" t="str">
        <v>Jawa Barat</v>
      </c>
      <c r="K262" t="str">
        <v>85777498376/081219437117</v>
      </c>
      <c r="L262" t="str">
        <v xml:space="preserve">publik </v>
      </c>
      <c r="M262" t="str">
        <v>Maul</v>
      </c>
      <c r="N262" t="str">
        <v>aktif</v>
      </c>
      <c r="CU262">
        <v>16</v>
      </c>
      <c r="CV262">
        <v>1100</v>
      </c>
      <c r="CX262">
        <v>11</v>
      </c>
      <c r="CY262">
        <v>10000</v>
      </c>
      <c r="DR262" t="str">
        <v>kosong</v>
      </c>
      <c r="DU262" t="str">
        <v>kosong</v>
      </c>
      <c r="DV262">
        <v>16</v>
      </c>
      <c r="DW262">
        <v>117000</v>
      </c>
      <c r="EA262" t="str">
        <v>ga ketemu</v>
      </c>
      <c r="EN262" t="str">
        <v>30  25</v>
      </c>
      <c r="EO262">
        <v>67000</v>
      </c>
      <c r="EP262" t="str">
        <v>penempatan</v>
      </c>
    </row>
    <row r="263">
      <c r="A263">
        <v>192</v>
      </c>
      <c r="B263" t="str">
        <v>15 Agustus 2024</v>
      </c>
      <c r="D263" t="str">
        <v>warung bakso Pak Ali/ rm padi boneh</v>
      </c>
      <c r="F263" t="str">
        <v>Jl H.Halimi no.4/ kreteg kelor</v>
      </c>
      <c r="G263" t="str">
        <v>Pamoyanan</v>
      </c>
      <c r="H263" t="str">
        <v>Bogor Selatan</v>
      </c>
      <c r="I263" t="str">
        <v>Kota Bogor</v>
      </c>
      <c r="J263" t="str">
        <v>Jawa barat</v>
      </c>
      <c r="K263">
        <v>877386720</v>
      </c>
      <c r="L263" t="str">
        <v>publik</v>
      </c>
      <c r="M263" t="str">
        <v>Maul</v>
      </c>
      <c r="N263" t="str">
        <v>aktif</v>
      </c>
      <c r="DC263" t="str">
        <v>kosong</v>
      </c>
      <c r="DG263">
        <v>13</v>
      </c>
      <c r="DH263">
        <v>12000</v>
      </c>
      <c r="DM263">
        <v>21</v>
      </c>
      <c r="DN263">
        <v>8500</v>
      </c>
      <c r="DR263" t="str">
        <v>kosong</v>
      </c>
      <c r="DS263">
        <v>17</v>
      </c>
      <c r="DT263">
        <v>3000</v>
      </c>
      <c r="DY263">
        <v>19</v>
      </c>
      <c r="EA263" t="str">
        <v>ditarik</v>
      </c>
      <c r="EN263" t="str">
        <v>30  25</v>
      </c>
      <c r="EO263">
        <v>20000</v>
      </c>
      <c r="EP263" t="str">
        <v>penempatan</v>
      </c>
    </row>
    <row r="264">
      <c r="A264">
        <v>153</v>
      </c>
      <c r="D264" t="str">
        <v>Bakso Goreng Berkat/ tahu diya barokah</v>
      </c>
      <c r="F264" t="str">
        <v>Jl. Batu Tulis/ kretek kelor</v>
      </c>
      <c r="G264" t="str">
        <v xml:space="preserve">Batu Tulis </v>
      </c>
      <c r="H264" t="str">
        <v>Bogor Selatan</v>
      </c>
      <c r="I264" t="str">
        <v>Kota Bogor</v>
      </c>
      <c r="J264" t="str">
        <v>Jawa barat</v>
      </c>
      <c r="K264">
        <v>83199033474</v>
      </c>
      <c r="L264" t="str">
        <v>Publik</v>
      </c>
      <c r="M264" t="str">
        <v>Udih</v>
      </c>
      <c r="N264" t="str">
        <v>aktif</v>
      </c>
      <c r="DD264">
        <v>6</v>
      </c>
      <c r="DE264">
        <v>6000</v>
      </c>
      <c r="EA264" t="str">
        <v>belum ketemu</v>
      </c>
      <c r="EN264">
        <v>30</v>
      </c>
      <c r="EP264" t="str">
        <v>penempatan</v>
      </c>
    </row>
    <row r="265">
      <c r="A265">
        <v>154</v>
      </c>
      <c r="B265" s="1">
        <v>45688</v>
      </c>
      <c r="D265" t="str">
        <v>Toko Madura Hajar / Toko rifky Madura</v>
      </c>
      <c r="F265" t="str">
        <v>Jl. Gunung Batu (seberang bunga bakery)</v>
      </c>
      <c r="G265" t="str">
        <v>Gunung Batu</v>
      </c>
      <c r="H265" t="str">
        <v>Bogor Barat</v>
      </c>
      <c r="I265" t="str">
        <v>Kab Bogor</v>
      </c>
      <c r="J265" t="str">
        <v>Jawa barat</v>
      </c>
      <c r="K265" t="str">
        <v>0812 33920200</v>
      </c>
      <c r="L265" t="str">
        <v>Publik</v>
      </c>
      <c r="M265" t="str">
        <v>Firdaus</v>
      </c>
      <c r="N265" t="str">
        <v>aktif</v>
      </c>
      <c r="DM265">
        <v>25</v>
      </c>
      <c r="DO265" t="str">
        <v>kosong</v>
      </c>
      <c r="DU265" t="str">
        <v>ditarik</v>
      </c>
      <c r="DY265" t="str">
        <v>27  12</v>
      </c>
      <c r="DZ265">
        <f>8500+21000</f>
        <v>29500</v>
      </c>
      <c r="EB265">
        <v>10</v>
      </c>
      <c r="EC265">
        <v>28000</v>
      </c>
      <c r="EE265">
        <v>8</v>
      </c>
      <c r="EF265">
        <v>37000</v>
      </c>
      <c r="EH265">
        <v>4</v>
      </c>
      <c r="EI265">
        <v>7000</v>
      </c>
      <c r="EK265" t="str">
        <v>30  21</v>
      </c>
      <c r="EL265">
        <f>12000+4500</f>
        <v>16500</v>
      </c>
      <c r="EN265">
        <v>17</v>
      </c>
      <c r="EO265">
        <v>22500</v>
      </c>
      <c r="EQ265">
        <v>4</v>
      </c>
      <c r="ER265">
        <v>28000</v>
      </c>
    </row>
    <row r="266">
      <c r="A266">
        <v>155</v>
      </c>
      <c r="B266" s="1">
        <v>45688</v>
      </c>
      <c r="D266" t="str">
        <v xml:space="preserve"> Laundry Hafiz/ rm arumi minang</v>
      </c>
      <c r="F266" t="str">
        <v>Jl Lingkar Dramaga  (samping baso Jembar)/jl kreteg kelor</v>
      </c>
      <c r="G266" t="str">
        <v>Dramaga/ cikretek</v>
      </c>
      <c r="H266" t="str">
        <v>Dramaga/ciomas</v>
      </c>
      <c r="I266" t="str">
        <v>kab bogor</v>
      </c>
      <c r="J266" t="str">
        <v>Jawa barat</v>
      </c>
      <c r="K266" t="str">
        <v>85211598581/ 081280352447</v>
      </c>
      <c r="L266" t="str">
        <v>publik</v>
      </c>
      <c r="M266" t="str">
        <v>Firdaus</v>
      </c>
      <c r="N266" t="str">
        <v>aktif</v>
      </c>
      <c r="DP266">
        <v>11</v>
      </c>
      <c r="DQ266">
        <v>2000</v>
      </c>
      <c r="DS266">
        <v>14</v>
      </c>
      <c r="DT266">
        <v>3000</v>
      </c>
      <c r="DV266">
        <v>6</v>
      </c>
      <c r="DW266">
        <v>2000</v>
      </c>
      <c r="DY266">
        <v>4</v>
      </c>
      <c r="DZ266">
        <v>3500</v>
      </c>
      <c r="EB266" s="1">
        <v>45945</v>
      </c>
      <c r="ED266" t="str">
        <v>kosong</v>
      </c>
      <c r="EK266">
        <v>7</v>
      </c>
      <c r="EM266" t="str">
        <v>ditarik</v>
      </c>
      <c r="EN266" t="str">
        <v>30  25</v>
      </c>
      <c r="EP266" t="str">
        <v>penempatan-kosong</v>
      </c>
    </row>
    <row r="267">
      <c r="A267">
        <v>156</v>
      </c>
      <c r="B267" s="1">
        <v>45688</v>
      </c>
      <c r="D267" t="str">
        <v xml:space="preserve">Toko Maulana </v>
      </c>
      <c r="F267" t="str">
        <v>Jl Kretek Kelor</v>
      </c>
      <c r="G267" t="str">
        <v>cikretek</v>
      </c>
      <c r="H267" t="str">
        <v>Ciomas</v>
      </c>
      <c r="I267" t="str">
        <v>kab bogor</v>
      </c>
      <c r="J267" t="str">
        <v>Jawa barat</v>
      </c>
      <c r="K267">
        <v>87873360157</v>
      </c>
      <c r="L267" t="str">
        <v>publik</v>
      </c>
      <c r="M267" t="str">
        <v>Firdaus</v>
      </c>
      <c r="N267" t="str">
        <v>aktif</v>
      </c>
      <c r="DM267">
        <v>25</v>
      </c>
      <c r="DN267">
        <v>4000</v>
      </c>
      <c r="DP267">
        <v>21</v>
      </c>
      <c r="DQ267">
        <v>44000</v>
      </c>
      <c r="DS267">
        <v>23</v>
      </c>
      <c r="DT267">
        <v>20000</v>
      </c>
      <c r="DV267">
        <v>20</v>
      </c>
      <c r="DW267">
        <v>14000</v>
      </c>
      <c r="DY267">
        <v>20</v>
      </c>
      <c r="DZ267">
        <v>9000</v>
      </c>
      <c r="EB267">
        <v>15</v>
      </c>
      <c r="EC267">
        <v>16000</v>
      </c>
      <c r="EE267">
        <v>22</v>
      </c>
      <c r="EF267">
        <v>6000</v>
      </c>
      <c r="EH267">
        <v>19</v>
      </c>
      <c r="EI267">
        <v>9500</v>
      </c>
      <c r="EK267">
        <v>17</v>
      </c>
      <c r="EL267">
        <v>9500</v>
      </c>
      <c r="EN267">
        <v>20</v>
      </c>
      <c r="EO267">
        <v>8500</v>
      </c>
    </row>
    <row r="268">
      <c r="A268">
        <v>157</v>
      </c>
      <c r="B268" t="str">
        <v xml:space="preserve"> Juli 2024</v>
      </c>
      <c r="C268" t="str">
        <v>daus</v>
      </c>
      <c r="D268" t="str">
        <v>Warung mie ayam Bakso Solo</v>
      </c>
      <c r="F268" t="str">
        <v>Jl. Cipaku 1 km dari p3an</v>
      </c>
      <c r="G268" t="str">
        <v>Cipaku</v>
      </c>
      <c r="H268" t="str">
        <v xml:space="preserve">Bogor Selatan </v>
      </c>
      <c r="I268" t="str">
        <v>Bogor Kota</v>
      </c>
      <c r="J268" t="str">
        <v>Jawa Barat</v>
      </c>
      <c r="K268" t="str">
        <v>0855 8570722</v>
      </c>
      <c r="L268" t="str">
        <v xml:space="preserve">publik </v>
      </c>
      <c r="M268" t="str">
        <v>Maul</v>
      </c>
      <c r="N268" t="str">
        <v>aktif</v>
      </c>
      <c r="CR268">
        <v>24</v>
      </c>
      <c r="CS268">
        <v>26000</v>
      </c>
      <c r="CU268">
        <v>16</v>
      </c>
      <c r="CV268">
        <v>33500</v>
      </c>
      <c r="CX268">
        <v>11</v>
      </c>
      <c r="CY268">
        <v>30000</v>
      </c>
      <c r="DA268">
        <v>7</v>
      </c>
      <c r="DB268">
        <v>24000</v>
      </c>
      <c r="DD268">
        <v>20</v>
      </c>
      <c r="DE268">
        <v>48000</v>
      </c>
      <c r="DJ268">
        <v>8</v>
      </c>
      <c r="DK268">
        <v>68500</v>
      </c>
      <c r="DM268">
        <v>20</v>
      </c>
      <c r="DN268">
        <v>66000</v>
      </c>
      <c r="DR268" t="str">
        <v>kosong</v>
      </c>
      <c r="DS268">
        <v>17</v>
      </c>
      <c r="DT268">
        <v>72000</v>
      </c>
      <c r="DV268">
        <v>16</v>
      </c>
      <c r="DW268">
        <v>19000</v>
      </c>
      <c r="DY268">
        <v>19</v>
      </c>
      <c r="DZ268">
        <v>37000</v>
      </c>
      <c r="EB268">
        <v>22</v>
      </c>
      <c r="EC268">
        <v>32000</v>
      </c>
      <c r="EE268">
        <v>21</v>
      </c>
      <c r="EF268">
        <v>21000</v>
      </c>
      <c r="EH268">
        <v>22</v>
      </c>
      <c r="EI268">
        <v>23000</v>
      </c>
      <c r="EK268">
        <v>20</v>
      </c>
      <c r="EL268">
        <v>12000</v>
      </c>
      <c r="EN268">
        <v>19</v>
      </c>
      <c r="EO268">
        <v>28000</v>
      </c>
    </row>
    <row r="269">
      <c r="A269">
        <v>158</v>
      </c>
      <c r="B269" t="str">
        <v>28 juni 2024</v>
      </c>
      <c r="C269" t="str">
        <v>daus</v>
      </c>
      <c r="D269" t="str">
        <v>Mie Ayam bakso Ananda</v>
      </c>
      <c r="F269" t="str">
        <v>jl Pamoyanan Sari</v>
      </c>
      <c r="G269" t="str">
        <v>Pamoyanan</v>
      </c>
      <c r="H269" t="str">
        <v>pamoyanan</v>
      </c>
      <c r="I269" t="str">
        <v>Bogor Kota</v>
      </c>
      <c r="J269" t="str">
        <v>Jawa Barat</v>
      </c>
      <c r="K269">
        <v>82221932155</v>
      </c>
      <c r="L269" t="str">
        <v xml:space="preserve">publik </v>
      </c>
      <c r="M269" t="str">
        <v>Maul</v>
      </c>
      <c r="N269" t="str">
        <v>aktif</v>
      </c>
      <c r="CR269">
        <v>15</v>
      </c>
      <c r="CS269">
        <v>13000</v>
      </c>
      <c r="CU269">
        <v>12</v>
      </c>
      <c r="CV269">
        <v>16500</v>
      </c>
      <c r="CX269">
        <v>4</v>
      </c>
      <c r="CY269">
        <v>53000</v>
      </c>
      <c r="DA269">
        <v>8</v>
      </c>
      <c r="DB269">
        <v>30000</v>
      </c>
      <c r="DD269">
        <v>11</v>
      </c>
      <c r="DE269">
        <v>11500</v>
      </c>
      <c r="DG269">
        <v>10</v>
      </c>
      <c r="DH269">
        <v>33000</v>
      </c>
      <c r="DJ269">
        <v>8</v>
      </c>
      <c r="DK269">
        <v>58500</v>
      </c>
      <c r="DM269">
        <v>21</v>
      </c>
      <c r="DN269">
        <v>22000</v>
      </c>
      <c r="DP269">
        <v>19</v>
      </c>
      <c r="DR269" t="str">
        <v>kosong</v>
      </c>
      <c r="DS269">
        <v>17</v>
      </c>
      <c r="DU269" t="str">
        <v>kosong</v>
      </c>
      <c r="DV269">
        <v>16</v>
      </c>
      <c r="DW269">
        <v>42000</v>
      </c>
      <c r="DY269">
        <v>20</v>
      </c>
      <c r="EA269" t="str">
        <v>kosong</v>
      </c>
      <c r="EB269" t="str">
        <v>26  22</v>
      </c>
      <c r="EC269">
        <f>22000+50000</f>
        <v>72000</v>
      </c>
      <c r="EE269">
        <v>21</v>
      </c>
      <c r="EF269">
        <v>20000</v>
      </c>
      <c r="EH269">
        <v>22</v>
      </c>
      <c r="EI269">
        <v>21000</v>
      </c>
      <c r="EK269">
        <v>20</v>
      </c>
      <c r="EL269">
        <v>25000</v>
      </c>
      <c r="EN269">
        <v>19</v>
      </c>
      <c r="EO269">
        <v>20000</v>
      </c>
    </row>
    <row r="270">
      <c r="A270">
        <v>159</v>
      </c>
      <c r="B270" t="str">
        <v>28 juni 2024</v>
      </c>
      <c r="C270" t="str">
        <v>daus</v>
      </c>
      <c r="D270" t="str">
        <v>Apotek udin Farma</v>
      </c>
      <c r="F270" t="str">
        <v>Jl.Soemantadireja</v>
      </c>
      <c r="G270" t="str">
        <v>Pamoyanan</v>
      </c>
      <c r="H270" t="str">
        <v>pamoyanan</v>
      </c>
      <c r="I270" t="str">
        <v>Bogor Kota</v>
      </c>
      <c r="J270" t="str">
        <v>Jawa Barat</v>
      </c>
      <c r="K270">
        <v>85954746964</v>
      </c>
      <c r="L270" t="str">
        <v xml:space="preserve">publik </v>
      </c>
      <c r="M270" t="str">
        <v>Maul</v>
      </c>
      <c r="N270" t="str">
        <v>aktif</v>
      </c>
      <c r="CR270">
        <v>8</v>
      </c>
      <c r="CS270">
        <v>9000</v>
      </c>
      <c r="CX270">
        <v>18</v>
      </c>
      <c r="CY270">
        <v>34500</v>
      </c>
      <c r="DA270">
        <v>8</v>
      </c>
      <c r="DB270">
        <v>20000</v>
      </c>
      <c r="DD270">
        <v>13</v>
      </c>
      <c r="DE270">
        <v>21500</v>
      </c>
      <c r="DG270">
        <v>10</v>
      </c>
      <c r="DH270">
        <v>19500</v>
      </c>
      <c r="DJ270">
        <v>8</v>
      </c>
      <c r="DK270">
        <v>13500</v>
      </c>
      <c r="DM270">
        <v>21</v>
      </c>
      <c r="DN270">
        <v>21000</v>
      </c>
      <c r="DP270">
        <v>19</v>
      </c>
      <c r="DQ270">
        <v>19000</v>
      </c>
      <c r="DS270">
        <v>17</v>
      </c>
      <c r="DT270">
        <v>38000</v>
      </c>
      <c r="DV270">
        <v>16</v>
      </c>
      <c r="DW270">
        <v>41000</v>
      </c>
      <c r="DY270">
        <v>19</v>
      </c>
      <c r="DZ270">
        <v>52000</v>
      </c>
      <c r="EB270">
        <v>21</v>
      </c>
      <c r="EC270">
        <v>46000</v>
      </c>
      <c r="EE270">
        <v>20</v>
      </c>
      <c r="EF270">
        <v>23000</v>
      </c>
      <c r="EH270">
        <v>22</v>
      </c>
      <c r="EI270">
        <v>22000</v>
      </c>
      <c r="EK270">
        <v>20</v>
      </c>
      <c r="EL270">
        <v>22000</v>
      </c>
      <c r="EN270">
        <v>18</v>
      </c>
      <c r="EO270">
        <v>17000</v>
      </c>
    </row>
    <row r="271">
      <c r="A271">
        <v>160</v>
      </c>
      <c r="B271" s="1">
        <v>45449</v>
      </c>
      <c r="C271" t="str">
        <v>daus</v>
      </c>
      <c r="D271" t="str">
        <v>Toko Kelontong bu Atit</v>
      </c>
      <c r="F271" t="str">
        <v>Layung Sari 1 (dekat tukang jahit)</v>
      </c>
      <c r="G271" t="str">
        <v>Layung Sari</v>
      </c>
      <c r="H271" t="str">
        <v>Bogor Selatan</v>
      </c>
      <c r="I271" t="str">
        <v>Bogor Kota</v>
      </c>
      <c r="J271" t="str">
        <v>Jawa Barat</v>
      </c>
      <c r="K271" t="str">
        <v>0812 85131513</v>
      </c>
      <c r="L271" t="str">
        <v xml:space="preserve">publik </v>
      </c>
      <c r="M271" t="str">
        <v>Maul</v>
      </c>
      <c r="N271" t="str">
        <v>aktif</v>
      </c>
      <c r="AA271" t="str">
        <v xml:space="preserve">           </v>
      </c>
      <c r="CR271">
        <v>5</v>
      </c>
      <c r="CS271">
        <v>14000</v>
      </c>
      <c r="CU271">
        <v>5</v>
      </c>
      <c r="CV271">
        <v>17000</v>
      </c>
      <c r="CX271">
        <v>3</v>
      </c>
      <c r="CY271">
        <v>16000</v>
      </c>
      <c r="DA271">
        <v>3</v>
      </c>
      <c r="DB271">
        <v>20000</v>
      </c>
      <c r="DD271">
        <v>6</v>
      </c>
      <c r="DE271">
        <v>30500</v>
      </c>
      <c r="DG271">
        <v>13</v>
      </c>
      <c r="DH271">
        <v>8500</v>
      </c>
      <c r="DJ271">
        <v>8</v>
      </c>
      <c r="DK271">
        <v>11000</v>
      </c>
      <c r="DM271">
        <v>21</v>
      </c>
      <c r="DN271">
        <v>7000</v>
      </c>
      <c r="DP271">
        <v>13</v>
      </c>
      <c r="DR271" t="str">
        <v>ditarik</v>
      </c>
      <c r="DS271">
        <v>17</v>
      </c>
      <c r="DT271">
        <v>33000</v>
      </c>
      <c r="DV271">
        <v>15</v>
      </c>
      <c r="DW271">
        <v>21000</v>
      </c>
      <c r="DY271">
        <v>18</v>
      </c>
      <c r="DZ271">
        <v>10500</v>
      </c>
      <c r="EB271">
        <v>22</v>
      </c>
      <c r="EC271">
        <v>9500</v>
      </c>
      <c r="EE271">
        <v>22</v>
      </c>
      <c r="EF271">
        <v>17000</v>
      </c>
      <c r="EH271">
        <v>17</v>
      </c>
      <c r="EI271">
        <v>5000</v>
      </c>
      <c r="EK271">
        <v>16</v>
      </c>
      <c r="EL271">
        <v>20000</v>
      </c>
      <c r="EN271" t="str">
        <v>14  17</v>
      </c>
      <c r="EO271">
        <v>22500</v>
      </c>
      <c r="EP271" t="str">
        <v>tutup-14</v>
      </c>
    </row>
    <row r="272">
      <c r="A272">
        <v>161</v>
      </c>
      <c r="B272" s="1">
        <v>45453</v>
      </c>
      <c r="C272" t="str">
        <v>daus</v>
      </c>
      <c r="D272" t="str">
        <v xml:space="preserve">Toko TINTA inno print inti perkasa </v>
      </c>
      <c r="F272" t="str">
        <v>Jln. Pahlawan Bondongan ( Jmbtn Empng)</v>
      </c>
      <c r="G272" t="str">
        <v>Bondongan</v>
      </c>
      <c r="H272" t="str">
        <v>Bogor Selatan</v>
      </c>
      <c r="I272" t="str">
        <v>Bogor Kota</v>
      </c>
      <c r="J272" t="str">
        <v>Jawa Barat</v>
      </c>
      <c r="L272" t="str">
        <v xml:space="preserve">publik </v>
      </c>
      <c r="M272" t="str">
        <v>Maul</v>
      </c>
      <c r="N272" t="str">
        <v>aktif</v>
      </c>
      <c r="CR272">
        <v>5</v>
      </c>
      <c r="CS272">
        <v>35000</v>
      </c>
      <c r="CW272" t="str">
        <v>kosong</v>
      </c>
      <c r="CX272">
        <v>1</v>
      </c>
      <c r="CY272">
        <v>5000</v>
      </c>
      <c r="DA272">
        <v>3</v>
      </c>
      <c r="DB272">
        <v>12000</v>
      </c>
      <c r="DD272">
        <v>6</v>
      </c>
      <c r="DE272">
        <v>16000</v>
      </c>
      <c r="DG272">
        <v>4</v>
      </c>
      <c r="DI272" t="str">
        <v>kosong</v>
      </c>
      <c r="DJ272">
        <v>8</v>
      </c>
      <c r="DK272">
        <v>10000</v>
      </c>
      <c r="DM272">
        <v>21</v>
      </c>
      <c r="DN272">
        <v>10000</v>
      </c>
      <c r="DP272">
        <v>13</v>
      </c>
      <c r="DQ272">
        <v>20000</v>
      </c>
      <c r="DS272">
        <v>17</v>
      </c>
      <c r="DT272">
        <v>10000</v>
      </c>
      <c r="DV272">
        <v>14</v>
      </c>
      <c r="DW272">
        <v>10000</v>
      </c>
      <c r="DY272">
        <v>24</v>
      </c>
      <c r="DZ272">
        <v>8000</v>
      </c>
      <c r="EB272">
        <v>22</v>
      </c>
      <c r="EC272">
        <v>17000</v>
      </c>
      <c r="EH272" t="str">
        <v>26  17</v>
      </c>
      <c r="EI272">
        <f>10000+20000</f>
        <v>30000</v>
      </c>
      <c r="EK272">
        <v>16</v>
      </c>
      <c r="EL272">
        <v>11000</v>
      </c>
      <c r="EN272" t="str">
        <v>13  17</v>
      </c>
      <c r="EO272">
        <v>12000</v>
      </c>
      <c r="EP272" t="str">
        <v>kosong</v>
      </c>
    </row>
    <row r="273">
      <c r="A273">
        <v>162</v>
      </c>
      <c r="B273" s="1">
        <v>45453</v>
      </c>
      <c r="C273" t="str">
        <v>daus</v>
      </c>
      <c r="D273" t="str">
        <v>Toko Optik Internasional ( Jmbtn Empng )</v>
      </c>
      <c r="F273" t="str">
        <v>Jln. Pahlawan Bondongan</v>
      </c>
      <c r="G273" t="str">
        <v>Bondongan</v>
      </c>
      <c r="H273" t="str">
        <v>Bogor Selatan</v>
      </c>
      <c r="I273" t="str">
        <v>Bogor Kota</v>
      </c>
      <c r="J273" t="str">
        <v>Jawa Barat</v>
      </c>
      <c r="L273" t="str">
        <v xml:space="preserve">publik </v>
      </c>
      <c r="M273" t="str">
        <v>Maul</v>
      </c>
      <c r="N273" t="str">
        <v>aktif</v>
      </c>
      <c r="CU273">
        <v>5</v>
      </c>
      <c r="CV273">
        <v>13000</v>
      </c>
      <c r="CX273">
        <v>2</v>
      </c>
      <c r="CY273">
        <v>9800</v>
      </c>
      <c r="DA273">
        <v>2</v>
      </c>
      <c r="DB273">
        <v>14500</v>
      </c>
      <c r="DD273">
        <v>6</v>
      </c>
      <c r="DE273">
        <v>14000</v>
      </c>
      <c r="DG273">
        <v>4</v>
      </c>
      <c r="DH273">
        <v>30000</v>
      </c>
      <c r="DJ273">
        <v>8</v>
      </c>
      <c r="DK273">
        <v>75500</v>
      </c>
      <c r="DM273">
        <v>20</v>
      </c>
      <c r="DN273">
        <v>34500</v>
      </c>
      <c r="DP273">
        <v>13</v>
      </c>
      <c r="DQ273">
        <v>20000</v>
      </c>
      <c r="DS273">
        <v>17</v>
      </c>
      <c r="DT273">
        <v>28000</v>
      </c>
      <c r="DV273">
        <v>14</v>
      </c>
      <c r="DW273">
        <v>11000</v>
      </c>
      <c r="DY273">
        <v>19</v>
      </c>
      <c r="DZ273">
        <v>74000</v>
      </c>
      <c r="EB273">
        <v>16</v>
      </c>
      <c r="EC273">
        <v>10500</v>
      </c>
      <c r="EE273">
        <v>20</v>
      </c>
      <c r="EF273">
        <v>17000</v>
      </c>
      <c r="EH273">
        <v>16</v>
      </c>
      <c r="EI273">
        <v>5000</v>
      </c>
      <c r="EK273">
        <v>15</v>
      </c>
      <c r="EM273" t="str">
        <v>kosong</v>
      </c>
      <c r="EN273">
        <v>13</v>
      </c>
      <c r="EP273" t="str">
        <v>kosong</v>
      </c>
    </row>
    <row r="274">
      <c r="A274">
        <v>163</v>
      </c>
      <c r="B274" t="str">
        <v>25 juni 2024</v>
      </c>
      <c r="C274" t="str">
        <v>daus</v>
      </c>
      <c r="D274" t="str">
        <v>toko parfum Dobha Center</v>
      </c>
      <c r="F274" t="str">
        <v xml:space="preserve">Jl.Pahlawan </v>
      </c>
      <c r="G274" t="str">
        <v>Cikaret</v>
      </c>
      <c r="H274" t="str">
        <v>Bogor selatan</v>
      </c>
      <c r="I274" t="str">
        <v>Bogor Kota</v>
      </c>
      <c r="J274" t="str">
        <v>Jawa Barat</v>
      </c>
      <c r="K274">
        <v>85162966930</v>
      </c>
      <c r="L274" t="str">
        <v xml:space="preserve">publik </v>
      </c>
      <c r="M274" t="str">
        <v>Maul</v>
      </c>
      <c r="N274" t="str">
        <v>non aktif</v>
      </c>
      <c r="CR274">
        <v>8</v>
      </c>
      <c r="CS274">
        <v>8000</v>
      </c>
      <c r="CU274">
        <v>12</v>
      </c>
      <c r="CV274">
        <v>1000</v>
      </c>
      <c r="CX274">
        <v>2</v>
      </c>
      <c r="CY274">
        <v>1700</v>
      </c>
      <c r="DA274">
        <v>10</v>
      </c>
      <c r="DB274">
        <v>2000</v>
      </c>
      <c r="DD274">
        <v>6</v>
      </c>
      <c r="DF274" t="str">
        <v>kosong</v>
      </c>
      <c r="DG274">
        <v>4</v>
      </c>
      <c r="DH274">
        <v>5000</v>
      </c>
      <c r="DJ274">
        <v>8</v>
      </c>
      <c r="DK274">
        <v>24000</v>
      </c>
      <c r="DM274">
        <v>11</v>
      </c>
      <c r="DO274" t="str">
        <v>kosong</v>
      </c>
      <c r="DR274" t="str">
        <v>kosong</v>
      </c>
      <c r="DS274">
        <v>17</v>
      </c>
      <c r="DU274" t="str">
        <v>kosong</v>
      </c>
      <c r="DV274">
        <v>14</v>
      </c>
      <c r="DW274">
        <v>4000</v>
      </c>
      <c r="EA274" t="str">
        <v>kosong</v>
      </c>
    </row>
    <row r="275">
      <c r="A275">
        <v>164</v>
      </c>
      <c r="B275" t="str">
        <v xml:space="preserve"> 4 Juli 2024</v>
      </c>
      <c r="C275" t="str">
        <v>daus</v>
      </c>
      <c r="D275" t="str">
        <v>Toko Lubis Berkah</v>
      </c>
      <c r="F275" t="str">
        <v>Jl. Cipaku</v>
      </c>
      <c r="G275" t="str">
        <v>Cipaku</v>
      </c>
      <c r="H275" t="str">
        <v xml:space="preserve">Bogor Selatan </v>
      </c>
      <c r="I275" t="str">
        <v>Bogor Kota</v>
      </c>
      <c r="J275" t="str">
        <v>Jawa Barat</v>
      </c>
      <c r="K275" t="str">
        <v>0895 18100332</v>
      </c>
      <c r="L275" t="str">
        <v xml:space="preserve">publik </v>
      </c>
      <c r="M275" t="str">
        <v>Maul</v>
      </c>
      <c r="N275" t="str">
        <v>aktif</v>
      </c>
      <c r="DA275">
        <v>7</v>
      </c>
      <c r="DB275">
        <v>94000</v>
      </c>
      <c r="DD275">
        <v>8</v>
      </c>
      <c r="DE275">
        <v>27500</v>
      </c>
      <c r="DJ275">
        <v>8</v>
      </c>
      <c r="DK275">
        <v>9000</v>
      </c>
      <c r="DM275">
        <v>20</v>
      </c>
      <c r="DN275">
        <v>6000</v>
      </c>
      <c r="DP275">
        <v>19</v>
      </c>
      <c r="DQ275">
        <v>16000</v>
      </c>
      <c r="DS275">
        <v>17</v>
      </c>
      <c r="DT275">
        <v>10000</v>
      </c>
      <c r="DV275">
        <v>16</v>
      </c>
      <c r="DW275">
        <v>10000</v>
      </c>
      <c r="DY275">
        <v>19</v>
      </c>
      <c r="DZ275">
        <v>14000</v>
      </c>
      <c r="EB275">
        <v>22</v>
      </c>
      <c r="EC275">
        <v>15000</v>
      </c>
      <c r="EE275">
        <v>21</v>
      </c>
      <c r="EF275">
        <v>26000</v>
      </c>
      <c r="EH275">
        <v>22</v>
      </c>
      <c r="EJ275" t="str">
        <v>kosong</v>
      </c>
      <c r="EK275">
        <v>20</v>
      </c>
      <c r="EL275">
        <v>30500</v>
      </c>
      <c r="EN275">
        <v>19</v>
      </c>
      <c r="EO275">
        <v>15500</v>
      </c>
    </row>
    <row r="276">
      <c r="A276">
        <v>165</v>
      </c>
      <c r="B276" t="str">
        <v xml:space="preserve"> 4 Juli 2024</v>
      </c>
      <c r="C276" t="str">
        <v>daus</v>
      </c>
      <c r="D276" t="str">
        <v>Warung kelontong Diva</v>
      </c>
      <c r="F276" t="str">
        <v>Jl. Cipaku</v>
      </c>
      <c r="G276" t="str">
        <v>Cipaku</v>
      </c>
      <c r="H276" t="str">
        <v xml:space="preserve">Bogor Selatan </v>
      </c>
      <c r="I276" t="str">
        <v>Bogor Kota</v>
      </c>
      <c r="J276" t="str">
        <v>Jawa Barat</v>
      </c>
      <c r="K276" t="str">
        <v>0852 20785990</v>
      </c>
      <c r="L276" t="str">
        <v xml:space="preserve">publik </v>
      </c>
      <c r="M276" t="str">
        <v>Maul</v>
      </c>
      <c r="N276" t="str">
        <v>non aktif</v>
      </c>
      <c r="DA276">
        <v>7</v>
      </c>
      <c r="DB276">
        <v>14500</v>
      </c>
      <c r="DD276">
        <v>8</v>
      </c>
      <c r="DF276" t="str">
        <v>kosong</v>
      </c>
      <c r="DJ276">
        <v>8</v>
      </c>
      <c r="DK276">
        <v>2000</v>
      </c>
      <c r="DM276">
        <v>20</v>
      </c>
      <c r="DN276">
        <v>5000</v>
      </c>
      <c r="DR276" t="str">
        <v>kosong</v>
      </c>
      <c r="DS276">
        <v>17</v>
      </c>
      <c r="DT276">
        <v>66000</v>
      </c>
      <c r="DY276">
        <v>19</v>
      </c>
      <c r="DZ276">
        <v>45500</v>
      </c>
      <c r="EB276">
        <v>22</v>
      </c>
      <c r="EC276">
        <v>20000</v>
      </c>
      <c r="EK276">
        <v>20</v>
      </c>
      <c r="EM276" t="str">
        <v>kosong</v>
      </c>
      <c r="EP276" t="str">
        <v>ditarik</v>
      </c>
    </row>
    <row r="277">
      <c r="A277">
        <v>207</v>
      </c>
      <c r="B277" s="1">
        <v>45177</v>
      </c>
      <c r="C277" t="str">
        <v>daus</v>
      </c>
      <c r="D277" t="str">
        <v>Apotik BNR / toko azril elektrik</v>
      </c>
      <c r="F277" t="str">
        <v>Jl.soemantridireja</v>
      </c>
      <c r="G277" t="str">
        <v>pamoyanan</v>
      </c>
      <c r="H277" t="str">
        <v>Bogor Selatan</v>
      </c>
      <c r="I277" t="str">
        <v xml:space="preserve">Kota Bogor </v>
      </c>
      <c r="J277" t="str">
        <v>Jawa barat</v>
      </c>
      <c r="K277">
        <v>2518368375</v>
      </c>
      <c r="L277" t="str">
        <v>Publik</v>
      </c>
      <c r="M277" t="str">
        <v>Maul</v>
      </c>
      <c r="N277" t="str">
        <v>non aktif</v>
      </c>
      <c r="BN277">
        <v>8</v>
      </c>
      <c r="BP277" t="str">
        <v>Penempatan</v>
      </c>
      <c r="BQ277">
        <v>10</v>
      </c>
      <c r="BS277" t="str">
        <v xml:space="preserve">kosong </v>
      </c>
      <c r="BT277">
        <v>13</v>
      </c>
      <c r="BU277">
        <v>6000</v>
      </c>
      <c r="BW277">
        <v>23</v>
      </c>
      <c r="BY277" t="str">
        <v>kosong</v>
      </c>
      <c r="BZ277">
        <v>15</v>
      </c>
      <c r="CA277">
        <v>2000</v>
      </c>
      <c r="CC277">
        <v>22</v>
      </c>
      <c r="CD277">
        <v>5000</v>
      </c>
      <c r="CN277" t="str">
        <v>ditarik</v>
      </c>
      <c r="DJ277">
        <v>8</v>
      </c>
      <c r="DK277">
        <v>2000</v>
      </c>
      <c r="DM277">
        <v>21</v>
      </c>
      <c r="DN277">
        <v>20500</v>
      </c>
      <c r="DP277">
        <v>19</v>
      </c>
      <c r="DQ277">
        <v>5500</v>
      </c>
      <c r="DS277">
        <v>17</v>
      </c>
      <c r="DU277" t="str">
        <v>kosong</v>
      </c>
      <c r="DV277">
        <v>16</v>
      </c>
      <c r="DW277">
        <v>5500</v>
      </c>
      <c r="DY277">
        <v>20</v>
      </c>
      <c r="EA277" t="str">
        <v>kosong</v>
      </c>
      <c r="EB277">
        <v>21</v>
      </c>
      <c r="ED277" t="str">
        <v>kosong</v>
      </c>
      <c r="EH277">
        <v>22</v>
      </c>
      <c r="EJ277" t="str">
        <v>ditarik</v>
      </c>
    </row>
    <row r="278">
      <c r="A278">
        <v>166</v>
      </c>
      <c r="B278" s="1">
        <v>45701</v>
      </c>
      <c r="D278" t="str">
        <v>Toko Madura Fira</v>
      </c>
      <c r="F278" t="str">
        <v>Jl. Raya Cilendek</v>
      </c>
      <c r="G278" t="str">
        <v>Cilendek</v>
      </c>
      <c r="H278" t="str">
        <v>Bogor Barat</v>
      </c>
      <c r="I278" t="str">
        <v>Kota Bogor</v>
      </c>
      <c r="J278" t="str">
        <v>Jawa barat</v>
      </c>
      <c r="K278" t="str">
        <v>0877 69511926</v>
      </c>
      <c r="L278" t="str">
        <v>publik</v>
      </c>
      <c r="M278" t="str">
        <v>Firdaus</v>
      </c>
      <c r="N278" t="str">
        <v>aktif</v>
      </c>
      <c r="DP278">
        <v>4</v>
      </c>
      <c r="DQ278">
        <v>22000</v>
      </c>
      <c r="DS278">
        <v>10</v>
      </c>
      <c r="DT278">
        <v>63000</v>
      </c>
      <c r="DV278">
        <v>8</v>
      </c>
      <c r="DW278">
        <v>108000</v>
      </c>
      <c r="DY278">
        <v>3</v>
      </c>
      <c r="DZ278">
        <v>11000</v>
      </c>
      <c r="EB278">
        <v>2</v>
      </c>
      <c r="EC278">
        <v>5500</v>
      </c>
      <c r="EE278">
        <v>4</v>
      </c>
      <c r="EF278">
        <v>9000</v>
      </c>
      <c r="EH278">
        <v>1</v>
      </c>
      <c r="EI278">
        <v>10500</v>
      </c>
      <c r="EK278">
        <v>1</v>
      </c>
      <c r="EL278">
        <v>11500</v>
      </c>
      <c r="EN278">
        <v>3</v>
      </c>
      <c r="EO278">
        <v>10500</v>
      </c>
      <c r="EQ278">
        <v>1</v>
      </c>
      <c r="ER278">
        <v>5500</v>
      </c>
    </row>
    <row r="279">
      <c r="A279">
        <v>167</v>
      </c>
      <c r="B279" t="str">
        <v>16 juli 2024</v>
      </c>
      <c r="D279" t="str">
        <v>Mie Ayam bakso &amp; ayam bakar pak Sular</v>
      </c>
      <c r="F279" t="str">
        <v>Jl Raya Cipaku Gunung Gadung</v>
      </c>
      <c r="G279" t="str">
        <v>Cipaku</v>
      </c>
      <c r="H279" t="str">
        <v>Bogor Selatan</v>
      </c>
      <c r="I279" t="str">
        <v xml:space="preserve">Kota Bogor </v>
      </c>
      <c r="J279" t="str">
        <v>Jawa Barat</v>
      </c>
      <c r="K279">
        <v>0</v>
      </c>
      <c r="L279" t="str">
        <v xml:space="preserve">publik </v>
      </c>
      <c r="M279" t="str">
        <v>Maul</v>
      </c>
      <c r="N279" t="str">
        <v>aktif</v>
      </c>
      <c r="CR279">
        <v>24</v>
      </c>
      <c r="CS279">
        <v>14000</v>
      </c>
      <c r="DA279">
        <v>26</v>
      </c>
      <c r="DB279">
        <v>21000</v>
      </c>
      <c r="DD279">
        <v>18</v>
      </c>
      <c r="DE279">
        <v>15500</v>
      </c>
      <c r="DJ279">
        <v>8</v>
      </c>
      <c r="DK279">
        <v>18500</v>
      </c>
      <c r="DM279">
        <v>20</v>
      </c>
      <c r="DN279">
        <v>21000</v>
      </c>
      <c r="DS279">
        <v>17</v>
      </c>
      <c r="DT279">
        <v>31000</v>
      </c>
      <c r="EA279" t="str">
        <v>kosong</v>
      </c>
      <c r="EB279" t="str">
        <v>26   21</v>
      </c>
      <c r="EC279">
        <f>12000+13000</f>
        <v>25000</v>
      </c>
      <c r="EH279">
        <v>22</v>
      </c>
      <c r="EI279">
        <v>25000</v>
      </c>
      <c r="EK279">
        <v>20</v>
      </c>
      <c r="EM279" t="str">
        <v>tutup</v>
      </c>
      <c r="EN279">
        <v>19</v>
      </c>
      <c r="EO279">
        <v>10000</v>
      </c>
    </row>
    <row r="280">
      <c r="A280">
        <v>210</v>
      </c>
      <c r="D280" t="str">
        <v>Toko Frozen Food Dua Saudara/ pratama frozen food</v>
      </c>
      <c r="F280" t="str">
        <v>Jl. Kolonel Bustomi selakopi/ jl kapten yusuf no 14</v>
      </c>
      <c r="G280" t="str">
        <v>warung menteng</v>
      </c>
      <c r="H280" t="str">
        <v>Bogor Selatan</v>
      </c>
      <c r="I280" t="str">
        <v>Kota Bogor</v>
      </c>
      <c r="J280" t="str">
        <v>Jawa Barat</v>
      </c>
      <c r="K280">
        <v>85721844341</v>
      </c>
      <c r="L280" t="str">
        <v xml:space="preserve">publik </v>
      </c>
      <c r="M280" t="str">
        <v>Maul/firdaus</v>
      </c>
      <c r="N280" t="str">
        <v>aktif</v>
      </c>
      <c r="DM280">
        <v>21</v>
      </c>
      <c r="DN280">
        <v>6000</v>
      </c>
      <c r="DS280">
        <v>17</v>
      </c>
      <c r="DU280" t="str">
        <v>kosong</v>
      </c>
      <c r="DY280">
        <v>19</v>
      </c>
      <c r="EA280" t="str">
        <v>ditarik</v>
      </c>
      <c r="EB280">
        <v>25</v>
      </c>
      <c r="EC280">
        <v>97000</v>
      </c>
      <c r="ED280" t="str">
        <v>penempatan</v>
      </c>
      <c r="EN280" t="str">
        <v>29  24</v>
      </c>
      <c r="EO280">
        <v>14000</v>
      </c>
      <c r="EP280" t="str">
        <v>penempatan</v>
      </c>
    </row>
    <row r="281">
      <c r="A281">
        <v>168</v>
      </c>
      <c r="D281" t="str">
        <v xml:space="preserve">RM Limpur Jaya </v>
      </c>
      <c r="F281" t="str">
        <v xml:space="preserve">Jl Setu Babakan </v>
      </c>
      <c r="I281" t="str">
        <v>Kota Bogor</v>
      </c>
      <c r="J281" t="str">
        <v>Jawa Barat</v>
      </c>
      <c r="K281">
        <v>81289099450</v>
      </c>
      <c r="L281" t="str">
        <v>publik</v>
      </c>
      <c r="M281" t="str">
        <v>Firdaus</v>
      </c>
      <c r="N281" t="str">
        <v>aktif</v>
      </c>
      <c r="DS281">
        <v>16</v>
      </c>
      <c r="DT281">
        <v>19000</v>
      </c>
      <c r="DV281">
        <v>13</v>
      </c>
      <c r="DW281">
        <v>12000</v>
      </c>
      <c r="DY281">
        <v>13</v>
      </c>
      <c r="EA281" t="str">
        <v>kosong</v>
      </c>
      <c r="EB281" s="1">
        <v>45944</v>
      </c>
      <c r="EC281">
        <v>9000</v>
      </c>
      <c r="ED281" t="str">
        <v>kosong-10</v>
      </c>
      <c r="EE281">
        <v>11</v>
      </c>
      <c r="EF281">
        <v>5500</v>
      </c>
      <c r="EH281">
        <v>12</v>
      </c>
      <c r="EJ281" t="str">
        <v>kosong</v>
      </c>
      <c r="EK281">
        <v>14</v>
      </c>
      <c r="EL281">
        <v>12000</v>
      </c>
      <c r="EN281">
        <v>10</v>
      </c>
      <c r="EP281" t="str">
        <v>tutup</v>
      </c>
    </row>
    <row r="282">
      <c r="A282">
        <v>169</v>
      </c>
      <c r="B282" t="str">
        <v>28 juni 2024</v>
      </c>
      <c r="D282" t="str">
        <v>Bapak Carli (ga ada kotak)</v>
      </c>
      <c r="F282" t="str">
        <v>Jl. Gatot Kaca 01/13 no. 05</v>
      </c>
      <c r="G282" t="str">
        <v>Cipaku</v>
      </c>
      <c r="H282" t="str">
        <v xml:space="preserve">Bogor Selatan </v>
      </c>
      <c r="I282" t="str">
        <v>Bogor Kota</v>
      </c>
      <c r="J282" t="str">
        <v>Jawa Barat</v>
      </c>
      <c r="K282" t="str">
        <v>0813 22449852</v>
      </c>
      <c r="L282" t="str">
        <v>Retail</v>
      </c>
      <c r="M282" t="str">
        <v>maul</v>
      </c>
      <c r="N282" t="str">
        <v>aktif</v>
      </c>
      <c r="CR282" t="str">
        <v>1 , 9</v>
      </c>
      <c r="CS282">
        <v>1300000</v>
      </c>
      <c r="CU282">
        <v>9</v>
      </c>
      <c r="CV282">
        <v>300000</v>
      </c>
      <c r="CX282">
        <v>1</v>
      </c>
      <c r="CY282">
        <v>250000</v>
      </c>
      <c r="DA282">
        <v>1</v>
      </c>
      <c r="DB282">
        <v>250000</v>
      </c>
      <c r="DD282">
        <v>1</v>
      </c>
      <c r="DE282">
        <v>250000</v>
      </c>
      <c r="DG282">
        <v>1</v>
      </c>
      <c r="DH282">
        <v>250000</v>
      </c>
      <c r="DJ282">
        <v>1</v>
      </c>
      <c r="DK282">
        <v>250000</v>
      </c>
      <c r="DM282">
        <v>1</v>
      </c>
      <c r="DN282">
        <v>250000</v>
      </c>
      <c r="DP282">
        <v>1</v>
      </c>
      <c r="DQ282">
        <v>250000</v>
      </c>
      <c r="DS282">
        <v>17</v>
      </c>
      <c r="DT282">
        <v>250000</v>
      </c>
      <c r="DU282" t="str">
        <v>tf ke mandiri</v>
      </c>
      <c r="DV282">
        <v>1</v>
      </c>
      <c r="DW282">
        <v>250000</v>
      </c>
      <c r="DX282" t="str">
        <v>tf ke mandiri</v>
      </c>
      <c r="DY282">
        <v>2</v>
      </c>
      <c r="DZ282">
        <v>250000</v>
      </c>
      <c r="EA282" t="str">
        <v>tf mandiri</v>
      </c>
      <c r="EB282">
        <v>1</v>
      </c>
      <c r="EC282">
        <v>250000</v>
      </c>
      <c r="ED282" t="str">
        <v>tf mandiri</v>
      </c>
      <c r="EE282">
        <v>1</v>
      </c>
      <c r="EF282">
        <v>300000</v>
      </c>
      <c r="EG282" t="str">
        <v>tf mandiri</v>
      </c>
      <c r="EH282">
        <v>1</v>
      </c>
      <c r="EI282">
        <v>250000</v>
      </c>
      <c r="EJ282" t="str">
        <v>tf mndiri</v>
      </c>
      <c r="EK282">
        <v>1</v>
      </c>
      <c r="EL282">
        <v>250000</v>
      </c>
      <c r="EM282" t="str">
        <v>tf mandiri</v>
      </c>
      <c r="EN282">
        <v>2</v>
      </c>
      <c r="EO282">
        <v>250000</v>
      </c>
      <c r="EP282" t="str">
        <v>tf mndiri</v>
      </c>
      <c r="EQ282">
        <v>1</v>
      </c>
      <c r="ER282">
        <v>250000</v>
      </c>
    </row>
    <row r="283">
      <c r="A283">
        <v>170</v>
      </c>
      <c r="B283" t="str">
        <v>27 juni 2024</v>
      </c>
      <c r="D283" t="str">
        <v>Majelis Taklim Ibu2 Masjid AL Ikhlas (Bpk Jaenal A)</v>
      </c>
      <c r="F283" t="str">
        <v>JL.Lawang Gintung ,Kampung Sawah</v>
      </c>
      <c r="G283" t="str">
        <v xml:space="preserve">Batu tulis </v>
      </c>
      <c r="H283" t="str">
        <v xml:space="preserve">Bogor Selatan </v>
      </c>
      <c r="I283" t="str">
        <v>Bogor Kota</v>
      </c>
      <c r="J283" t="str">
        <v>Jawa Barat</v>
      </c>
      <c r="L283" t="str">
        <v>Home</v>
      </c>
      <c r="M283" t="str">
        <v>Maul</v>
      </c>
      <c r="N283" t="str">
        <v>aktif</v>
      </c>
      <c r="CX283">
        <v>29</v>
      </c>
      <c r="CY283">
        <v>108000</v>
      </c>
      <c r="DA283" t="str">
        <v>26 24</v>
      </c>
      <c r="DB283">
        <f>113000+132000</f>
        <v>245000</v>
      </c>
      <c r="DD283">
        <v>21</v>
      </c>
      <c r="DE283">
        <v>133000</v>
      </c>
      <c r="DG283">
        <v>19</v>
      </c>
      <c r="DH283">
        <v>121000</v>
      </c>
      <c r="DJ283">
        <v>23</v>
      </c>
      <c r="DK283">
        <v>170000</v>
      </c>
      <c r="DM283">
        <v>20</v>
      </c>
      <c r="DN283">
        <v>125500</v>
      </c>
      <c r="DR283" t="str">
        <v>kosong</v>
      </c>
      <c r="DS283">
        <v>9</v>
      </c>
      <c r="DT283">
        <v>50000</v>
      </c>
      <c r="DV283">
        <v>22</v>
      </c>
      <c r="DW283">
        <v>229000</v>
      </c>
      <c r="DX283" t="str">
        <v>Firdaus</v>
      </c>
      <c r="EA283" t="str">
        <v>kosong</v>
      </c>
      <c r="EB283" t="str">
        <v>26  24</v>
      </c>
      <c r="EC283">
        <f>161500+97000</f>
        <v>258500</v>
      </c>
      <c r="EH283">
        <v>25</v>
      </c>
      <c r="EI283">
        <v>224000</v>
      </c>
      <c r="EK283">
        <v>23</v>
      </c>
      <c r="EL283">
        <v>84000</v>
      </c>
      <c r="EP283" t="str">
        <v>libur</v>
      </c>
    </row>
    <row r="284">
      <c r="A284">
        <v>171</v>
      </c>
      <c r="B284" s="1">
        <v>45457</v>
      </c>
      <c r="D284" t="str">
        <v>Rohim  Masjid Al - Ikhlas</v>
      </c>
      <c r="F284" t="str">
        <v>Jln. Lawang Gintung</v>
      </c>
      <c r="H284" t="str">
        <v>Bogor Selatan</v>
      </c>
      <c r="I284" t="str">
        <v>Bogor Kota</v>
      </c>
      <c r="J284" t="str">
        <v>Jawa Barat</v>
      </c>
      <c r="L284" t="str">
        <v xml:space="preserve">publik </v>
      </c>
      <c r="M284" t="str">
        <v>Maul</v>
      </c>
      <c r="N284" t="str">
        <v>aktif</v>
      </c>
      <c r="CU284">
        <v>21</v>
      </c>
      <c r="CV284">
        <v>27000</v>
      </c>
      <c r="DA284" t="str">
        <v>26 24</v>
      </c>
      <c r="DB284">
        <f>22000+12000</f>
        <v>34000</v>
      </c>
      <c r="DD284">
        <v>21</v>
      </c>
      <c r="DE284">
        <v>8000</v>
      </c>
      <c r="DJ284">
        <v>23</v>
      </c>
      <c r="DK284">
        <v>38000</v>
      </c>
      <c r="DP284">
        <v>13</v>
      </c>
      <c r="DQ284">
        <v>34500</v>
      </c>
      <c r="DS284">
        <v>24</v>
      </c>
      <c r="DT284">
        <v>31500</v>
      </c>
      <c r="DV284">
        <v>22</v>
      </c>
      <c r="DW284">
        <v>27000</v>
      </c>
      <c r="DX284" t="str">
        <v>Firdaus</v>
      </c>
      <c r="EA284" t="str">
        <v>kosong</v>
      </c>
      <c r="EB284" t="str">
        <v>26  24</v>
      </c>
      <c r="EC284">
        <f>31000+37500+97000</f>
        <v>165500</v>
      </c>
      <c r="EH284">
        <v>25</v>
      </c>
      <c r="EI284">
        <v>79000</v>
      </c>
      <c r="EK284">
        <v>23</v>
      </c>
      <c r="EL284">
        <v>41500</v>
      </c>
      <c r="EN284">
        <v>20</v>
      </c>
      <c r="EO284">
        <v>43000</v>
      </c>
    </row>
    <row r="285">
      <c r="A285">
        <v>172</v>
      </c>
      <c r="B285" s="1">
        <v>45141</v>
      </c>
      <c r="C285" t="str">
        <v>0920220188</v>
      </c>
      <c r="D285" t="str">
        <v>Toko kelontong (sembako) SSR</v>
      </c>
      <c r="F285" t="str">
        <v>JL.Mulyaharja,Cibereum</v>
      </c>
      <c r="G285" t="str">
        <v>Mulyaharja</v>
      </c>
      <c r="H285" t="str">
        <v>Bogor Selatan</v>
      </c>
      <c r="I285" t="str">
        <v>Kota Bogor</v>
      </c>
      <c r="J285" t="str">
        <v>Jawa barat</v>
      </c>
      <c r="L285" t="str">
        <v>Publik</v>
      </c>
      <c r="M285" t="str">
        <v>Udih</v>
      </c>
      <c r="N285" t="str">
        <v>aktif</v>
      </c>
      <c r="BK285">
        <v>31</v>
      </c>
      <c r="BL285">
        <v>4000</v>
      </c>
      <c r="BM285" t="str">
        <v>Penempatan</v>
      </c>
      <c r="BN285">
        <v>28</v>
      </c>
      <c r="BO285">
        <v>27000</v>
      </c>
      <c r="BQ285">
        <v>30</v>
      </c>
      <c r="BR285">
        <v>37000</v>
      </c>
      <c r="BT285">
        <v>29</v>
      </c>
      <c r="BU285">
        <v>2000</v>
      </c>
      <c r="BW285">
        <v>26</v>
      </c>
      <c r="BX285">
        <v>14000</v>
      </c>
      <c r="BZ285">
        <v>31</v>
      </c>
      <c r="CA285">
        <v>11000</v>
      </c>
      <c r="CC285">
        <v>27</v>
      </c>
      <c r="CD285">
        <v>5500</v>
      </c>
      <c r="CF285">
        <v>26</v>
      </c>
      <c r="CG285">
        <v>22000</v>
      </c>
      <c r="CI285">
        <v>26</v>
      </c>
      <c r="CJ285">
        <v>10000</v>
      </c>
      <c r="CL285">
        <v>31</v>
      </c>
      <c r="CM285">
        <v>11000</v>
      </c>
      <c r="CO285">
        <v>27</v>
      </c>
      <c r="CP285">
        <v>5000</v>
      </c>
      <c r="CR285">
        <v>30</v>
      </c>
      <c r="CS285">
        <v>15000</v>
      </c>
      <c r="CU285">
        <v>23</v>
      </c>
      <c r="CV285">
        <v>17000</v>
      </c>
      <c r="CX285">
        <v>24</v>
      </c>
      <c r="CY285">
        <v>20000</v>
      </c>
      <c r="DA285">
        <v>23</v>
      </c>
      <c r="DB285">
        <v>5000</v>
      </c>
      <c r="DD285">
        <v>20</v>
      </c>
      <c r="DE285">
        <v>6000</v>
      </c>
      <c r="DG285">
        <v>12</v>
      </c>
      <c r="DH285">
        <v>4000</v>
      </c>
      <c r="DJ285">
        <v>16</v>
      </c>
      <c r="DK285">
        <v>15500</v>
      </c>
      <c r="DM285">
        <v>25</v>
      </c>
      <c r="DN285">
        <v>11000</v>
      </c>
      <c r="DP285">
        <v>12</v>
      </c>
      <c r="DQ285">
        <v>22000</v>
      </c>
      <c r="DS285">
        <v>17</v>
      </c>
      <c r="DT285">
        <v>20000</v>
      </c>
      <c r="DV285">
        <v>22</v>
      </c>
      <c r="DW285">
        <v>12000</v>
      </c>
      <c r="DX285" t="str">
        <v>Firdaus</v>
      </c>
      <c r="DY285">
        <v>20</v>
      </c>
      <c r="DZ285">
        <v>20000</v>
      </c>
      <c r="EB285">
        <v>23</v>
      </c>
      <c r="EC285">
        <v>20000</v>
      </c>
      <c r="EH285">
        <v>26</v>
      </c>
      <c r="EI285">
        <v>16500</v>
      </c>
      <c r="EK285">
        <v>21</v>
      </c>
      <c r="EL285">
        <v>17000</v>
      </c>
      <c r="EN285">
        <v>24</v>
      </c>
      <c r="EO285">
        <v>16000</v>
      </c>
    </row>
    <row r="286">
      <c r="A286">
        <v>173</v>
      </c>
      <c r="B286" s="1">
        <v>45141</v>
      </c>
      <c r="C286" t="str">
        <v>0920220179</v>
      </c>
      <c r="D286" t="str">
        <v>Bakso Davit</v>
      </c>
      <c r="F286" t="str">
        <v xml:space="preserve">Jl.Raya Cibereum RT 07/05 </v>
      </c>
      <c r="G286" t="str">
        <v>Mulyaharja</v>
      </c>
      <c r="H286" t="str">
        <v>Bogor Selatan</v>
      </c>
      <c r="I286" t="str">
        <v>Kota Bogor</v>
      </c>
      <c r="J286" t="str">
        <v>Jawa barat</v>
      </c>
      <c r="L286" t="str">
        <v>Publik</v>
      </c>
      <c r="M286" t="str">
        <v>Udih</v>
      </c>
      <c r="N286" t="str">
        <v>aktif</v>
      </c>
      <c r="BK286">
        <v>31</v>
      </c>
      <c r="BL286">
        <v>9500</v>
      </c>
      <c r="BM286" t="str">
        <v>Penempatan</v>
      </c>
      <c r="BN286">
        <v>28</v>
      </c>
      <c r="BO286">
        <v>5500</v>
      </c>
      <c r="BT286">
        <v>29</v>
      </c>
      <c r="BU286">
        <v>5000</v>
      </c>
      <c r="BW286">
        <v>21</v>
      </c>
      <c r="BY286" t="str">
        <v>kosong</v>
      </c>
      <c r="BZ286">
        <v>31</v>
      </c>
      <c r="CA286">
        <v>11500</v>
      </c>
      <c r="CC286">
        <v>27</v>
      </c>
      <c r="CD286">
        <v>10000</v>
      </c>
      <c r="CI286">
        <v>26</v>
      </c>
      <c r="CJ286">
        <v>7500</v>
      </c>
      <c r="CL286">
        <v>31</v>
      </c>
      <c r="CM286">
        <v>14000</v>
      </c>
      <c r="CQ286" t="str">
        <v>kosong</v>
      </c>
      <c r="CR286">
        <v>30</v>
      </c>
      <c r="CS286">
        <v>8500</v>
      </c>
      <c r="CU286">
        <v>23</v>
      </c>
      <c r="CV286">
        <v>7000</v>
      </c>
      <c r="CX286">
        <v>24</v>
      </c>
      <c r="CY286">
        <v>10000</v>
      </c>
      <c r="DA286">
        <v>23</v>
      </c>
      <c r="DB286">
        <v>5000</v>
      </c>
      <c r="DD286">
        <v>19</v>
      </c>
      <c r="DE286">
        <v>5500</v>
      </c>
      <c r="DJ286">
        <v>15</v>
      </c>
      <c r="DL286" t="str">
        <v>kosong</v>
      </c>
      <c r="DO286" t="str">
        <v>kosong</v>
      </c>
      <c r="DR286" t="str">
        <v>kosong</v>
      </c>
      <c r="DU286" t="str">
        <v>kosong</v>
      </c>
      <c r="DV286">
        <v>22</v>
      </c>
      <c r="DW286">
        <v>7500</v>
      </c>
      <c r="DX286" t="str">
        <v>Firdaus</v>
      </c>
      <c r="EA286" t="str">
        <v>kosong</v>
      </c>
      <c r="EB286">
        <v>23</v>
      </c>
      <c r="EC286">
        <v>17500</v>
      </c>
      <c r="EH286">
        <v>26</v>
      </c>
      <c r="EI286">
        <v>6000</v>
      </c>
      <c r="EM286" t="str">
        <v>kosong</v>
      </c>
      <c r="EN286">
        <v>24</v>
      </c>
      <c r="EO286">
        <v>7000</v>
      </c>
    </row>
    <row r="287">
      <c r="A287">
        <v>174</v>
      </c>
      <c r="B287" s="1">
        <v>45482</v>
      </c>
      <c r="C287" t="str">
        <v>0920220113</v>
      </c>
      <c r="D287" t="str">
        <v>Warung sembako AEK Pohan</v>
      </c>
      <c r="F287" t="str">
        <v xml:space="preserve">Jl.H..Mubarok </v>
      </c>
      <c r="H287" t="str">
        <v>Bogor Selatan</v>
      </c>
      <c r="I287" t="str">
        <v>Kota Bogor</v>
      </c>
      <c r="J287" t="str">
        <v>jawa barat</v>
      </c>
      <c r="L287" t="str">
        <v>Publik</v>
      </c>
      <c r="M287" t="str">
        <v>Dian J</v>
      </c>
      <c r="N287" t="str">
        <v>aktif</v>
      </c>
      <c r="CR287">
        <v>9</v>
      </c>
      <c r="CS287">
        <v>89000</v>
      </c>
      <c r="CU287">
        <v>6</v>
      </c>
      <c r="CV287">
        <v>5500</v>
      </c>
      <c r="CX287">
        <v>23</v>
      </c>
      <c r="CY287">
        <v>25500</v>
      </c>
      <c r="DA287">
        <v>11</v>
      </c>
      <c r="DB287">
        <v>21500</v>
      </c>
      <c r="DD287">
        <v>19</v>
      </c>
      <c r="DE287">
        <v>10000</v>
      </c>
      <c r="DJ287">
        <v>9</v>
      </c>
      <c r="DK287">
        <v>24500</v>
      </c>
      <c r="DM287">
        <v>14</v>
      </c>
      <c r="DN287">
        <v>12500</v>
      </c>
      <c r="DP287">
        <v>12</v>
      </c>
      <c r="DQ287">
        <v>5500</v>
      </c>
      <c r="DU287" t="str">
        <v>kosong</v>
      </c>
      <c r="DV287">
        <v>22</v>
      </c>
      <c r="DW287">
        <v>50000</v>
      </c>
      <c r="DX287" t="str">
        <v>Firdaus</v>
      </c>
      <c r="EA287" t="str">
        <v>kosong</v>
      </c>
      <c r="EH287" t="str">
        <v>26  23</v>
      </c>
      <c r="EI287">
        <f>10000+12000</f>
        <v>22000</v>
      </c>
      <c r="EK287">
        <v>21</v>
      </c>
      <c r="EL287">
        <v>4000</v>
      </c>
      <c r="EN287">
        <v>24</v>
      </c>
      <c r="EO287">
        <v>15000</v>
      </c>
    </row>
    <row r="288">
      <c r="A288">
        <v>175</v>
      </c>
      <c r="B288" s="1">
        <v>45482</v>
      </c>
      <c r="D288" t="str">
        <v xml:space="preserve">Toko sembako Endang </v>
      </c>
      <c r="F288" t="str">
        <v>jl. Cibeureum ada pom mini</v>
      </c>
      <c r="G288" t="str">
        <v>mulyaharja</v>
      </c>
      <c r="H288" t="str">
        <v>Bogor Selatan</v>
      </c>
      <c r="I288" t="str">
        <v>Kota Bogor</v>
      </c>
      <c r="J288" t="str">
        <v>jawa barat</v>
      </c>
      <c r="L288" t="str">
        <v>Publik</v>
      </c>
      <c r="M288" t="str">
        <v>Dian J</v>
      </c>
      <c r="N288" t="str">
        <v>aktif</v>
      </c>
      <c r="CU288">
        <v>6</v>
      </c>
      <c r="CV288">
        <v>32000</v>
      </c>
      <c r="CX288">
        <v>11</v>
      </c>
      <c r="CY288">
        <v>36000</v>
      </c>
      <c r="DA288">
        <v>18</v>
      </c>
      <c r="DB288">
        <v>59000</v>
      </c>
      <c r="DD288">
        <v>18</v>
      </c>
      <c r="DE288">
        <v>52000</v>
      </c>
      <c r="DG288">
        <v>12</v>
      </c>
      <c r="DH288">
        <v>53500</v>
      </c>
      <c r="DJ288">
        <v>16</v>
      </c>
      <c r="DK288">
        <v>43000</v>
      </c>
      <c r="DM288">
        <v>14</v>
      </c>
      <c r="DN288">
        <v>34000</v>
      </c>
      <c r="DR288" t="str">
        <v>kosong</v>
      </c>
      <c r="DU288" t="str">
        <v>kosong</v>
      </c>
      <c r="DV288">
        <v>22</v>
      </c>
      <c r="DW288">
        <v>10000</v>
      </c>
      <c r="DX288" t="str">
        <v>Firdaus</v>
      </c>
      <c r="DY288">
        <v>20</v>
      </c>
      <c r="DZ288">
        <v>11000</v>
      </c>
      <c r="EH288" t="str">
        <v>26  23</v>
      </c>
      <c r="EI288">
        <f>10500+20000</f>
        <v>30500</v>
      </c>
      <c r="EK288">
        <v>21</v>
      </c>
      <c r="EL288">
        <v>14500</v>
      </c>
      <c r="EN288">
        <v>24</v>
      </c>
      <c r="EO288">
        <v>16000</v>
      </c>
    </row>
    <row r="289">
      <c r="A289">
        <v>176</v>
      </c>
      <c r="B289" t="str">
        <v>6 Agustus 2024</v>
      </c>
      <c r="D289" t="str">
        <v>RM Padang Minang Sarumbi</v>
      </c>
      <c r="F289" t="str">
        <v>Jl Cikaret gang Kosasi</v>
      </c>
      <c r="G289" t="str">
        <v>Cikaret</v>
      </c>
      <c r="H289" t="str">
        <v>Bogor Selatan</v>
      </c>
      <c r="I289" t="str">
        <v>Kota bogor</v>
      </c>
      <c r="J289" t="str">
        <v>Jawa Barat</v>
      </c>
      <c r="K289">
        <v>82286985723</v>
      </c>
      <c r="L289" t="str">
        <v>publik</v>
      </c>
      <c r="M289" t="str">
        <v>Maul</v>
      </c>
      <c r="N289" t="str">
        <v>aktif</v>
      </c>
      <c r="CX289">
        <v>23</v>
      </c>
      <c r="CY289">
        <v>197000</v>
      </c>
      <c r="DA289">
        <v>21</v>
      </c>
      <c r="DB289">
        <v>96000</v>
      </c>
      <c r="DD289">
        <v>18</v>
      </c>
      <c r="DE289">
        <v>82000</v>
      </c>
      <c r="DG289">
        <v>11</v>
      </c>
      <c r="DH289">
        <v>72000</v>
      </c>
      <c r="DJ289">
        <v>9</v>
      </c>
      <c r="DK289">
        <v>124000</v>
      </c>
      <c r="DM289">
        <v>14</v>
      </c>
      <c r="DN289">
        <v>120000</v>
      </c>
      <c r="DP289">
        <v>12</v>
      </c>
      <c r="DQ289">
        <v>46500</v>
      </c>
      <c r="DS289">
        <v>17</v>
      </c>
      <c r="DT289">
        <v>97500</v>
      </c>
      <c r="DV289">
        <v>22</v>
      </c>
      <c r="DW289">
        <v>60000</v>
      </c>
      <c r="DX289" t="str">
        <v>Firdaus</v>
      </c>
      <c r="DY289">
        <v>20</v>
      </c>
      <c r="DZ289">
        <v>55500</v>
      </c>
      <c r="EB289">
        <v>23</v>
      </c>
      <c r="EC289">
        <v>50500</v>
      </c>
      <c r="EE289">
        <v>25</v>
      </c>
      <c r="EF289">
        <v>76500</v>
      </c>
      <c r="EH289">
        <v>23</v>
      </c>
      <c r="EI289">
        <v>46500</v>
      </c>
      <c r="EK289">
        <v>21</v>
      </c>
      <c r="EL289">
        <v>31500</v>
      </c>
      <c r="EN289">
        <v>24</v>
      </c>
      <c r="EO289">
        <v>51000</v>
      </c>
    </row>
    <row r="290">
      <c r="A290">
        <v>177</v>
      </c>
      <c r="B290" t="str">
        <v>27 juni 2024</v>
      </c>
      <c r="D290" t="str">
        <v xml:space="preserve">Toko Material Harapan Bersama </v>
      </c>
      <c r="F290" t="str">
        <v>Jl. Raya Cibereum</v>
      </c>
      <c r="G290" t="str">
        <v>Mulya harja</v>
      </c>
      <c r="H290" t="str">
        <v xml:space="preserve">Bogor Selatan </v>
      </c>
      <c r="I290" t="str">
        <v>Bogor Kota</v>
      </c>
      <c r="J290" t="str">
        <v>Jawa Barat</v>
      </c>
      <c r="K290">
        <v>85814283090</v>
      </c>
      <c r="L290" t="str">
        <v xml:space="preserve">publik </v>
      </c>
      <c r="M290" t="str">
        <v>Maul</v>
      </c>
      <c r="N290" t="str">
        <v>aktif</v>
      </c>
      <c r="DA290">
        <v>24</v>
      </c>
      <c r="DB290">
        <v>38500</v>
      </c>
      <c r="DD290">
        <v>18</v>
      </c>
      <c r="DE290">
        <v>2000</v>
      </c>
      <c r="DJ290">
        <v>16</v>
      </c>
      <c r="DK290">
        <v>7500</v>
      </c>
      <c r="DP290">
        <v>12</v>
      </c>
      <c r="DQ290">
        <v>5500</v>
      </c>
      <c r="DU290" t="str">
        <v>kosong</v>
      </c>
      <c r="DV290">
        <v>22</v>
      </c>
      <c r="DW290">
        <v>9000</v>
      </c>
      <c r="DX290" t="str">
        <v>Firdaus</v>
      </c>
      <c r="DY290">
        <v>20</v>
      </c>
      <c r="DZ290">
        <v>12000</v>
      </c>
      <c r="EB290">
        <v>23</v>
      </c>
      <c r="EC290">
        <v>6000</v>
      </c>
      <c r="EH290" t="str">
        <v>26  23</v>
      </c>
      <c r="EI290">
        <f>10000+8000</f>
        <v>18000</v>
      </c>
      <c r="EK290">
        <v>21</v>
      </c>
      <c r="EL290">
        <v>8000</v>
      </c>
      <c r="EN290">
        <v>24</v>
      </c>
      <c r="EO290">
        <v>14000</v>
      </c>
    </row>
    <row r="291">
      <c r="A291">
        <v>178</v>
      </c>
      <c r="B291" t="str">
        <v xml:space="preserve"> 9 juli 2024</v>
      </c>
      <c r="D291" t="str">
        <v>Warung sembako Andri</v>
      </c>
      <c r="F291" t="str">
        <v>Jl.H.Mubarok</v>
      </c>
      <c r="G291" t="str">
        <v>Ciomas</v>
      </c>
      <c r="H291" t="str">
        <v>Ciomas</v>
      </c>
      <c r="I291" t="str">
        <v>kab bogor</v>
      </c>
      <c r="J291" t="str">
        <v>Jawa Barat</v>
      </c>
      <c r="K291">
        <v>85883618181</v>
      </c>
      <c r="L291" t="str">
        <v xml:space="preserve">publik </v>
      </c>
      <c r="M291" t="str">
        <v>Maul</v>
      </c>
      <c r="N291" t="str">
        <v>aktif</v>
      </c>
      <c r="CU291">
        <v>6</v>
      </c>
      <c r="CV291">
        <v>28000</v>
      </c>
      <c r="CX291">
        <v>23</v>
      </c>
      <c r="CY291">
        <v>4000</v>
      </c>
      <c r="DA291">
        <v>11</v>
      </c>
      <c r="DB291">
        <v>15500</v>
      </c>
      <c r="DD291">
        <v>14</v>
      </c>
      <c r="DE291">
        <v>5000</v>
      </c>
      <c r="DG291">
        <v>12</v>
      </c>
      <c r="DH291">
        <v>10500</v>
      </c>
      <c r="DJ291">
        <v>9</v>
      </c>
      <c r="DK291">
        <v>10500</v>
      </c>
      <c r="DM291">
        <v>14</v>
      </c>
      <c r="DN291">
        <v>21000</v>
      </c>
      <c r="DP291">
        <v>12</v>
      </c>
      <c r="DQ291">
        <v>20000</v>
      </c>
      <c r="DS291">
        <v>24</v>
      </c>
      <c r="DT291">
        <v>24000</v>
      </c>
      <c r="DV291">
        <v>22</v>
      </c>
      <c r="DW291">
        <v>10000</v>
      </c>
      <c r="DX291" t="str">
        <v>Firdaus</v>
      </c>
      <c r="DY291">
        <v>20</v>
      </c>
      <c r="DZ291">
        <v>10000</v>
      </c>
      <c r="EB291">
        <v>23</v>
      </c>
      <c r="EC291">
        <v>10000</v>
      </c>
      <c r="EH291">
        <v>23</v>
      </c>
      <c r="EI291">
        <v>10000</v>
      </c>
      <c r="EK291">
        <v>21</v>
      </c>
      <c r="EL291">
        <v>15000</v>
      </c>
      <c r="EN291">
        <v>24</v>
      </c>
      <c r="EO291">
        <v>10000</v>
      </c>
    </row>
    <row r="292">
      <c r="A292">
        <v>179</v>
      </c>
      <c r="D292" t="str">
        <v>RM Rajo Sarero</v>
      </c>
      <c r="F292" t="str">
        <v>Jl Cibereum</v>
      </c>
      <c r="N292" t="str">
        <v>aktif</v>
      </c>
      <c r="DS292">
        <v>17</v>
      </c>
      <c r="DT292">
        <v>12000</v>
      </c>
      <c r="DX292" t="str">
        <v>daus</v>
      </c>
      <c r="EA292" t="str">
        <v>tutup</v>
      </c>
      <c r="EH292">
        <v>25</v>
      </c>
      <c r="EI292">
        <v>7000</v>
      </c>
      <c r="EK292">
        <v>30</v>
      </c>
      <c r="EM292" t="str">
        <v>kosong</v>
      </c>
      <c r="EN292" t="str">
        <v>29  24</v>
      </c>
      <c r="EO292">
        <f>10000+16000</f>
        <v>26000</v>
      </c>
    </row>
    <row r="293">
      <c r="A293">
        <v>180</v>
      </c>
      <c r="B293" s="1">
        <v>45578</v>
      </c>
      <c r="D293" t="str">
        <v>DKM Masjid Nurul Mulk</v>
      </c>
      <c r="F293" t="str">
        <v>Komp Telkom 1 Mulya Harja</v>
      </c>
      <c r="G293" t="str">
        <v>mulyaharja</v>
      </c>
      <c r="H293" t="str">
        <v>Bogor Selatan</v>
      </c>
      <c r="I293" t="str">
        <v>Kota Bogor</v>
      </c>
      <c r="J293" t="str">
        <v>jawa barat</v>
      </c>
      <c r="L293" t="str">
        <v>home</v>
      </c>
      <c r="M293" t="str">
        <v>Firdaus</v>
      </c>
      <c r="N293" t="str">
        <v>aktif</v>
      </c>
      <c r="DA293">
        <v>13</v>
      </c>
      <c r="DB293">
        <v>250000</v>
      </c>
      <c r="DR293" t="str">
        <v>kosong</v>
      </c>
      <c r="DX293" t="str">
        <v>daus</v>
      </c>
      <c r="EA293" t="str">
        <v>belum visit</v>
      </c>
      <c r="EH293">
        <v>17</v>
      </c>
      <c r="EI293">
        <v>250000</v>
      </c>
      <c r="EJ293" t="str">
        <v>tf</v>
      </c>
    </row>
    <row r="294">
      <c r="A294">
        <v>181</v>
      </c>
      <c r="B294" s="1">
        <v>45141</v>
      </c>
      <c r="C294" t="str">
        <v>0920220187</v>
      </c>
      <c r="D294" t="str">
        <v>Seblak Sebakul</v>
      </c>
      <c r="F294" t="str">
        <v>Jl Raden Kosasih Rt 07 Rw 08</v>
      </c>
      <c r="G294" t="str">
        <v>Cikaret</v>
      </c>
      <c r="H294" t="str">
        <v>Bogor Selatan</v>
      </c>
      <c r="I294" t="str">
        <v>Kota Bogor</v>
      </c>
      <c r="J294" t="str">
        <v>Jawa barat</v>
      </c>
      <c r="K294">
        <v>83110811008</v>
      </c>
      <c r="L294" t="str">
        <v>Publik</v>
      </c>
      <c r="M294" t="str">
        <v>Udih</v>
      </c>
      <c r="N294" t="str">
        <v>aktif</v>
      </c>
      <c r="BK294">
        <v>31</v>
      </c>
      <c r="BL294">
        <v>15000</v>
      </c>
      <c r="BM294" t="str">
        <v>Penempatan</v>
      </c>
      <c r="BN294">
        <v>28</v>
      </c>
      <c r="BO294">
        <v>5000</v>
      </c>
      <c r="BQ294">
        <v>30</v>
      </c>
      <c r="BR294">
        <v>4000</v>
      </c>
      <c r="BT294">
        <v>29</v>
      </c>
      <c r="BU294">
        <v>13500</v>
      </c>
      <c r="BW294">
        <v>26</v>
      </c>
      <c r="BX294">
        <v>8000</v>
      </c>
      <c r="BZ294">
        <v>31</v>
      </c>
      <c r="CA294">
        <v>6000</v>
      </c>
      <c r="CC294">
        <v>27</v>
      </c>
      <c r="CD294">
        <v>10000</v>
      </c>
      <c r="CI294">
        <v>26</v>
      </c>
      <c r="CJ294">
        <v>18000</v>
      </c>
      <c r="CL294">
        <v>31</v>
      </c>
      <c r="CM294">
        <v>11500</v>
      </c>
      <c r="CO294">
        <v>27</v>
      </c>
      <c r="CP294">
        <v>9500</v>
      </c>
      <c r="CR294">
        <v>30</v>
      </c>
      <c r="CS294">
        <v>5000</v>
      </c>
      <c r="CX294" t="str">
        <v>28  24</v>
      </c>
      <c r="CY294">
        <v>21000</v>
      </c>
      <c r="DA294">
        <v>23</v>
      </c>
      <c r="DB294">
        <v>16000</v>
      </c>
      <c r="DD294">
        <v>19</v>
      </c>
      <c r="DE294">
        <v>8000</v>
      </c>
      <c r="DJ294">
        <v>16</v>
      </c>
      <c r="DK294">
        <v>23000</v>
      </c>
      <c r="DM294">
        <v>25</v>
      </c>
      <c r="DN294">
        <v>10000</v>
      </c>
      <c r="DP294">
        <v>12</v>
      </c>
      <c r="DQ294">
        <v>6000</v>
      </c>
      <c r="DS294">
        <v>24</v>
      </c>
      <c r="DU294" t="str">
        <v>kosong</v>
      </c>
      <c r="DX294" t="str">
        <v>daus</v>
      </c>
      <c r="EA294" t="str">
        <v>tutup</v>
      </c>
      <c r="EB294">
        <v>23</v>
      </c>
      <c r="EC294">
        <v>8000</v>
      </c>
      <c r="EK294">
        <v>21</v>
      </c>
      <c r="EL294">
        <v>17500</v>
      </c>
      <c r="EN294">
        <v>24</v>
      </c>
      <c r="EP294" t="str">
        <v>kosong</v>
      </c>
    </row>
    <row r="295">
      <c r="A295">
        <v>112</v>
      </c>
      <c r="B295" s="1">
        <v>45141</v>
      </c>
      <c r="D295" t="str">
        <v>Rumah Makan Padang duo soudaro</v>
      </c>
      <c r="F295" t="str">
        <v>JL.Mulyaharja,Cibereum</v>
      </c>
      <c r="G295" t="str">
        <v>Mulyaharja</v>
      </c>
      <c r="H295" t="str">
        <v>Bogor Selatan</v>
      </c>
      <c r="I295" t="str">
        <v>Kota Bogor</v>
      </c>
      <c r="J295" t="str">
        <v>Jawa barat</v>
      </c>
      <c r="L295" t="str">
        <v>Publik</v>
      </c>
      <c r="M295" t="str">
        <v>Dian J</v>
      </c>
      <c r="N295" t="str">
        <v>non aktif</v>
      </c>
      <c r="BK295">
        <v>3</v>
      </c>
      <c r="BM295" t="str">
        <v>Penempatan</v>
      </c>
      <c r="BQ295">
        <v>30</v>
      </c>
      <c r="BR295">
        <v>15500</v>
      </c>
      <c r="BW295">
        <v>21</v>
      </c>
      <c r="BY295" t="str">
        <v>tutup</v>
      </c>
      <c r="CC295">
        <v>23</v>
      </c>
      <c r="CE295" t="str">
        <v>kosong</v>
      </c>
      <c r="CI295">
        <v>26</v>
      </c>
      <c r="CJ295">
        <v>6500</v>
      </c>
      <c r="CL295">
        <v>31</v>
      </c>
      <c r="CM295">
        <v>4000</v>
      </c>
      <c r="CR295">
        <v>17</v>
      </c>
      <c r="CS295">
        <v>5000</v>
      </c>
      <c r="CU295">
        <v>23</v>
      </c>
      <c r="CV295">
        <v>10000</v>
      </c>
      <c r="CX295">
        <v>24</v>
      </c>
      <c r="CY295">
        <v>10000</v>
      </c>
      <c r="DC295" t="str">
        <v>tutup</v>
      </c>
      <c r="DJ295">
        <v>21</v>
      </c>
      <c r="DK295">
        <v>10000</v>
      </c>
      <c r="DP295">
        <v>12</v>
      </c>
      <c r="DQ295">
        <v>17000</v>
      </c>
      <c r="DU295" t="str">
        <v>kosong</v>
      </c>
      <c r="DX295" t="str">
        <v>daus</v>
      </c>
      <c r="EA295" t="str">
        <v>ditarik</v>
      </c>
    </row>
    <row r="296">
      <c r="A296">
        <v>182</v>
      </c>
      <c r="B296" t="str">
        <v>15 Agustus 2024</v>
      </c>
      <c r="D296" t="str">
        <v xml:space="preserve">MTS Darussalam </v>
      </c>
      <c r="F296" t="str">
        <v>jl. rs Jembatan Tereja</v>
      </c>
      <c r="G296" t="str">
        <v>Batu tulis</v>
      </c>
      <c r="H296" t="str">
        <v>Bogor Selatan</v>
      </c>
      <c r="I296" t="str">
        <v>Kota Bogor</v>
      </c>
      <c r="J296" t="str">
        <v>Jawa barat</v>
      </c>
      <c r="L296" t="str">
        <v>Home</v>
      </c>
      <c r="M296" t="str">
        <v>Maul</v>
      </c>
      <c r="N296" t="str">
        <v>aktif</v>
      </c>
      <c r="CU296">
        <v>21</v>
      </c>
      <c r="CV296">
        <v>54000</v>
      </c>
      <c r="DA296">
        <v>26</v>
      </c>
      <c r="DB296">
        <v>231000</v>
      </c>
      <c r="DD296">
        <v>20</v>
      </c>
      <c r="DE296">
        <v>90000</v>
      </c>
      <c r="DM296">
        <v>20</v>
      </c>
      <c r="DN296">
        <v>199000</v>
      </c>
      <c r="DR296" t="str">
        <v>kosong</v>
      </c>
      <c r="DS296">
        <v>24</v>
      </c>
      <c r="DU296" t="str">
        <v>kosong</v>
      </c>
      <c r="DX296" t="str">
        <v>daus</v>
      </c>
      <c r="EA296" t="str">
        <v>libur</v>
      </c>
      <c r="EB296">
        <v>21</v>
      </c>
      <c r="ED296" t="str">
        <v>kosong</v>
      </c>
      <c r="EH296">
        <v>22</v>
      </c>
      <c r="EI296">
        <v>233000</v>
      </c>
      <c r="EK296">
        <v>20</v>
      </c>
      <c r="EM296" t="str">
        <v>kosong</v>
      </c>
    </row>
    <row r="297">
      <c r="A297">
        <v>183</v>
      </c>
      <c r="B297" t="str">
        <v>25 sept 2025</v>
      </c>
      <c r="D297" t="str">
        <v>toko gempita madura</v>
      </c>
      <c r="F297" t="str">
        <v>jl raya tajur</v>
      </c>
      <c r="L297" t="str">
        <v>Publik</v>
      </c>
      <c r="M297" t="str">
        <v>firdaus</v>
      </c>
      <c r="N297" t="str">
        <v>aktif</v>
      </c>
      <c r="EK297" t="str">
        <v>29  15</v>
      </c>
      <c r="EL297">
        <v>18000</v>
      </c>
      <c r="EM297" t="str">
        <v>Penempatan-29</v>
      </c>
      <c r="EN297">
        <v>14</v>
      </c>
      <c r="EO297">
        <v>8000</v>
      </c>
    </row>
    <row r="303">
      <c r="O303">
        <f>SUM(O4:O27)</f>
        <v>0</v>
      </c>
      <c r="P303">
        <f>SUM(P4:P27)</f>
        <v>0</v>
      </c>
      <c r="Q303">
        <f>SUM(Q4:Q27)</f>
        <v>0</v>
      </c>
      <c r="S303">
        <f>SUM(S4:S27)</f>
        <v>0</v>
      </c>
      <c r="U303">
        <f>SUM(U4:U27)</f>
        <v>0</v>
      </c>
      <c r="W303">
        <f>SUM(W4:W202)</f>
        <v>0</v>
      </c>
      <c r="Y303">
        <f>SUM(Y4:Y202)</f>
        <v>0</v>
      </c>
      <c r="AA303">
        <f>SUM(AA4:AA202)</f>
        <v>0</v>
      </c>
      <c r="AC303">
        <f>SUM(AC4:AC202)</f>
        <v>0</v>
      </c>
      <c r="AE303">
        <f>SUM(AE4:AE202)</f>
        <v>0</v>
      </c>
      <c r="AH303">
        <f>SUM(AH4:AH202)</f>
        <v>185000</v>
      </c>
      <c r="AK303">
        <f>SUM(AK4:AK202)</f>
        <v>91500</v>
      </c>
      <c r="AN303">
        <f>SUM(AN4:AN202)</f>
        <v>139500</v>
      </c>
      <c r="AQ303">
        <f>SUM(AQ4:AQ202)</f>
        <v>149000</v>
      </c>
      <c r="AT303">
        <f>SUM(AT4:AT202)</f>
        <v>312000</v>
      </c>
      <c r="AW303">
        <f>SUM(AW4:AW268)</f>
        <v>244000</v>
      </c>
      <c r="AZ303">
        <f>SUM(AZ4:AZ268)</f>
        <v>166000</v>
      </c>
      <c r="BC303">
        <f>SUM(BC4:BC268)</f>
        <v>346000</v>
      </c>
      <c r="BF303">
        <f>SUM(BF4:BF268)</f>
        <v>102500</v>
      </c>
      <c r="BI303">
        <f>SUM(BI4:BI268)</f>
        <v>258000</v>
      </c>
      <c r="BL303">
        <f>SUM(BL4:BL268)</f>
        <v>261500</v>
      </c>
      <c r="BO303">
        <f>SUM(BO4:BO302)</f>
        <v>882700</v>
      </c>
      <c r="BR303">
        <f>SUM(BR4:BR302)</f>
        <v>1556200</v>
      </c>
      <c r="BU303">
        <f>SUM(BU4:BU302)</f>
        <v>1785500</v>
      </c>
      <c r="BX303">
        <f>SUM(BX4:BX302)</f>
        <v>2105400</v>
      </c>
      <c r="CA303">
        <f>SUM(CA4:CA302)</f>
        <v>1849700</v>
      </c>
      <c r="CD303">
        <f>SUM(CD4:CD302)</f>
        <v>2563600</v>
      </c>
      <c r="CG303">
        <f>SUM(CG4:CG302)</f>
        <v>2901500</v>
      </c>
      <c r="CJ303">
        <f>SUM(CJ4:CJ302)</f>
        <v>2046500</v>
      </c>
      <c r="CM303">
        <f>SUM(CM4:CM302)</f>
        <v>3324000</v>
      </c>
      <c r="CP303">
        <f>SUM(CP4:CP302)</f>
        <v>2132500</v>
      </c>
      <c r="CS303">
        <f>SUM(CS4:CS302)</f>
        <v>4206000</v>
      </c>
      <c r="CV303">
        <f>SUM(CV4:CV302)</f>
        <v>3489600</v>
      </c>
      <c r="CY303">
        <f>SUM(CY4:CY302)</f>
        <v>4365400</v>
      </c>
      <c r="DB303">
        <f>SUM(DB4:DB302)</f>
        <v>5411500</v>
      </c>
      <c r="DE303">
        <f>SUM(DE4:DE302)</f>
        <v>4147500</v>
      </c>
      <c r="DH303">
        <f>SUM(DH4:DH302)</f>
        <v>4378500</v>
      </c>
      <c r="DK303">
        <f>SUM(DK4:DK302)</f>
        <v>5226500</v>
      </c>
      <c r="DN303">
        <f>SUM(DN4:DN302)</f>
        <v>4828000</v>
      </c>
      <c r="DQ303">
        <f>SUM(DQ4:DQ302)</f>
        <v>3848500</v>
      </c>
      <c r="DT303">
        <f>SUM(DT4:DT302)</f>
        <v>4350000</v>
      </c>
      <c r="DW303">
        <f>SUM(DW5:DW302)</f>
        <v>4308000</v>
      </c>
      <c r="DZ303">
        <f>SUM(DZ4:DZ302)</f>
        <v>3643000</v>
      </c>
      <c r="EC303">
        <f>SUM(EC4:EC302)</f>
        <v>5615000</v>
      </c>
      <c r="EF303">
        <f>SUM(EF4:EF302)</f>
        <v>4274000</v>
      </c>
      <c r="EI303">
        <f>SUM(EI4:EI302)</f>
        <v>5001000</v>
      </c>
      <c r="EL303">
        <f>SUM(EL4:EL302)</f>
        <v>4204500</v>
      </c>
      <c r="EO303">
        <f>SUM(EO4:EO302)</f>
        <v>5124000</v>
      </c>
      <c r="ER303">
        <f>SUM(ER4:ER302)</f>
        <v>1717500</v>
      </c>
      <c r="EU303">
        <f>SUM(U303:ET303)</f>
        <v>101541100</v>
      </c>
    </row>
    <row r="304">
      <c r="CV304">
        <v>215000</v>
      </c>
    </row>
    <row r="305">
      <c r="CV305">
        <f>SUM(CV303:CV304)</f>
        <v>3704600</v>
      </c>
      <c r="DW305">
        <v>138</v>
      </c>
      <c r="DX305" t="str">
        <v>Terkolek</v>
      </c>
      <c r="DZ305">
        <v>122</v>
      </c>
      <c r="EA305" t="str">
        <v>Terkolek</v>
      </c>
      <c r="EC305">
        <v>130</v>
      </c>
      <c r="ED305" t="str">
        <v>Terkolek</v>
      </c>
      <c r="EF305">
        <v>121</v>
      </c>
      <c r="EG305" t="str">
        <v>Terkolek</v>
      </c>
      <c r="EI305">
        <v>124</v>
      </c>
      <c r="EJ305" t="str">
        <v>Terkolek</v>
      </c>
      <c r="EL305">
        <v>125</v>
      </c>
      <c r="EM305" t="str">
        <v>Terkolek</v>
      </c>
      <c r="EO305">
        <v>147</v>
      </c>
      <c r="EP305" t="str">
        <v>Terkolek</v>
      </c>
      <c r="ER305">
        <f>COUNT(ER4:ER300)</f>
        <v>52</v>
      </c>
      <c r="ES305" t="str">
        <v>Terkolek</v>
      </c>
    </row>
    <row r="306">
      <c r="BF306" t="str">
        <v>Terkolek</v>
      </c>
      <c r="BH306">
        <v>17</v>
      </c>
      <c r="BI306" t="str">
        <v>Terkolek</v>
      </c>
      <c r="BM306" t="str">
        <v>Terkolek</v>
      </c>
      <c r="BO306">
        <v>9</v>
      </c>
      <c r="BP306" t="str">
        <v>Terkolek</v>
      </c>
      <c r="BQ306">
        <v>76</v>
      </c>
      <c r="BR306" t="str">
        <v>Terkolek</v>
      </c>
      <c r="BT306">
        <v>63</v>
      </c>
      <c r="BU306" t="str">
        <v>Terkolek</v>
      </c>
      <c r="BX306">
        <v>82</v>
      </c>
      <c r="BY306" t="str">
        <v>Terkolek</v>
      </c>
      <c r="CA306">
        <v>97</v>
      </c>
      <c r="CB306" t="str">
        <v>Terkolek</v>
      </c>
      <c r="CD306">
        <v>110</v>
      </c>
      <c r="CE306" t="str">
        <v>Terkolek</v>
      </c>
      <c r="CG306">
        <v>99</v>
      </c>
      <c r="CH306" t="str">
        <v>Terkolek</v>
      </c>
      <c r="CJ306">
        <v>105</v>
      </c>
      <c r="CK306" t="str">
        <v>Terkolek</v>
      </c>
      <c r="CM306">
        <v>102</v>
      </c>
      <c r="CN306" t="str">
        <v>Terkolek</v>
      </c>
      <c r="CP306">
        <v>107</v>
      </c>
      <c r="CQ306" t="str">
        <v>Terkolek</v>
      </c>
      <c r="CS306">
        <v>101</v>
      </c>
      <c r="CT306" t="str">
        <v>Terkolek</v>
      </c>
      <c r="CV306">
        <v>112</v>
      </c>
      <c r="CW306" t="str">
        <v>Terkolek</v>
      </c>
      <c r="CY306">
        <v>114</v>
      </c>
      <c r="CZ306" t="str">
        <v>Terkolek</v>
      </c>
      <c r="DB306">
        <v>105</v>
      </c>
      <c r="DC306" t="str">
        <v>Terkolek</v>
      </c>
      <c r="DE306">
        <v>75</v>
      </c>
      <c r="DF306" t="str">
        <v>terkolek</v>
      </c>
      <c r="DH306">
        <v>121</v>
      </c>
      <c r="DI306" t="str">
        <v>Terkolek</v>
      </c>
      <c r="DK306">
        <v>122</v>
      </c>
      <c r="DL306" t="str">
        <v>Terkolek</v>
      </c>
      <c r="DN306">
        <v>141</v>
      </c>
      <c r="DO306" t="str">
        <v>Terkolek</v>
      </c>
      <c r="DQ306">
        <v>130</v>
      </c>
      <c r="DR306" t="str">
        <v>Terkolek</v>
      </c>
      <c r="DT306">
        <v>126</v>
      </c>
      <c r="DU306" t="str">
        <v>Terkolek</v>
      </c>
      <c r="DW306">
        <v>45</v>
      </c>
      <c r="DX306" t="str">
        <v>kosong</v>
      </c>
      <c r="DZ306">
        <v>94</v>
      </c>
      <c r="EA306" t="str">
        <v>Kosong</v>
      </c>
      <c r="EC306">
        <v>50</v>
      </c>
      <c r="ED306" t="str">
        <v>kosong</v>
      </c>
      <c r="EF306">
        <v>50</v>
      </c>
      <c r="EG306" t="str">
        <v>Kosong</v>
      </c>
      <c r="EI306">
        <v>52</v>
      </c>
      <c r="EJ306" t="str">
        <v>Kosong</v>
      </c>
      <c r="EL306">
        <v>48</v>
      </c>
      <c r="EM306" t="str">
        <v>Kosong</v>
      </c>
      <c r="EO306">
        <v>29</v>
      </c>
      <c r="EP306" t="str">
        <v>Kosong</v>
      </c>
      <c r="ER306">
        <f>COUNTIF(ES4:ES301,"kosong")</f>
        <v>11</v>
      </c>
      <c r="ES306" t="str">
        <v>Kosong</v>
      </c>
    </row>
    <row r="307">
      <c r="BF307" t="str">
        <v>Kosong</v>
      </c>
      <c r="BH307">
        <v>8</v>
      </c>
      <c r="BI307" t="str">
        <v>Kosong</v>
      </c>
      <c r="BM307" t="str">
        <v xml:space="preserve">Kosong </v>
      </c>
      <c r="BO307">
        <v>5</v>
      </c>
      <c r="BP307" t="str">
        <v>Kosong</v>
      </c>
      <c r="BQ307">
        <v>55</v>
      </c>
      <c r="BR307" t="str">
        <v>Kosong Publik</v>
      </c>
      <c r="BT307">
        <v>77</v>
      </c>
      <c r="BU307" t="str">
        <v>Kosong</v>
      </c>
      <c r="BX307">
        <v>89</v>
      </c>
      <c r="BY307" t="str">
        <v>Kosong</v>
      </c>
      <c r="CA307">
        <v>62</v>
      </c>
      <c r="CB307" t="str">
        <v>Kosong</v>
      </c>
      <c r="CD307">
        <v>32</v>
      </c>
      <c r="CE307" t="str">
        <v>Kosong</v>
      </c>
      <c r="CG307">
        <v>19</v>
      </c>
      <c r="CH307" t="str">
        <v>Kosong</v>
      </c>
      <c r="CJ307">
        <v>50</v>
      </c>
      <c r="CK307" t="str">
        <v>Kosong</v>
      </c>
      <c r="CM307">
        <v>60</v>
      </c>
      <c r="CN307" t="str">
        <v>Kosong</v>
      </c>
      <c r="CP307">
        <v>52</v>
      </c>
      <c r="CQ307" t="str">
        <v>kosong</v>
      </c>
      <c r="CS307">
        <v>35</v>
      </c>
      <c r="CT307" t="str">
        <v>Kosong</v>
      </c>
      <c r="CV307">
        <v>25</v>
      </c>
      <c r="CW307" t="str">
        <v>Kosong</v>
      </c>
      <c r="CY307">
        <v>15</v>
      </c>
      <c r="CZ307" t="str">
        <v>kosong</v>
      </c>
      <c r="DB307">
        <v>33</v>
      </c>
      <c r="DC307" t="str">
        <v>kosong</v>
      </c>
      <c r="DE307">
        <v>15</v>
      </c>
      <c r="DF307" t="str">
        <v>Kosong</v>
      </c>
      <c r="DH307">
        <v>21</v>
      </c>
      <c r="DI307" t="str">
        <v>kosong</v>
      </c>
      <c r="DK307">
        <v>41</v>
      </c>
      <c r="DL307" t="str">
        <v>kosong</v>
      </c>
      <c r="DN307">
        <v>20</v>
      </c>
      <c r="DO307" t="str">
        <v>Kosong</v>
      </c>
      <c r="DQ307">
        <v>59</v>
      </c>
      <c r="DR307" t="str">
        <v>kosong</v>
      </c>
      <c r="DT307">
        <v>65</v>
      </c>
      <c r="DU307" t="str">
        <v>Kosong</v>
      </c>
      <c r="DW307">
        <v>15</v>
      </c>
      <c r="DX307" t="str">
        <v>data maul</v>
      </c>
      <c r="EC307">
        <v>5</v>
      </c>
      <c r="ED307" t="str">
        <v>ditarik/mindahin</v>
      </c>
      <c r="EI307">
        <v>1</v>
      </c>
      <c r="EJ307" t="str">
        <v>Pemindahan</v>
      </c>
      <c r="EL307">
        <v>6</v>
      </c>
      <c r="EM307" t="str">
        <v>penempatan</v>
      </c>
      <c r="EO307">
        <v>9</v>
      </c>
      <c r="EP307" t="str">
        <v>Pemindahan</v>
      </c>
      <c r="ER307">
        <f>COUNTIF(ES5:ES302,"penempatan")</f>
        <v>5</v>
      </c>
      <c r="ES307" t="str">
        <v>Penempatan</v>
      </c>
    </row>
    <row r="308">
      <c r="BF308" t="str">
        <v>Penempatan</v>
      </c>
      <c r="BH308">
        <v>0</v>
      </c>
      <c r="BI308" t="str">
        <v>Penempatan</v>
      </c>
      <c r="BL308">
        <v>21</v>
      </c>
      <c r="BM308" t="str">
        <v>Penempatan</v>
      </c>
      <c r="BO308">
        <v>121</v>
      </c>
      <c r="BP308" t="str">
        <v>Penempatan</v>
      </c>
      <c r="BR308" t="str">
        <v>Kosong Home</v>
      </c>
      <c r="BU308" t="str">
        <v>Penempatan</v>
      </c>
      <c r="BV308">
        <v>32</v>
      </c>
      <c r="BX308">
        <f>BX306+BX307</f>
        <v>171</v>
      </c>
      <c r="BY308" t="str">
        <v>All Visit</v>
      </c>
      <c r="CA308">
        <f>CA306+CA307</f>
        <v>159</v>
      </c>
      <c r="CB308" t="str">
        <v>All Visit</v>
      </c>
      <c r="CD308">
        <v>142</v>
      </c>
      <c r="CE308" t="str">
        <v>All Visit</v>
      </c>
      <c r="CS308">
        <v>162</v>
      </c>
      <c r="CT308" t="str">
        <v>data kotak</v>
      </c>
      <c r="DB308">
        <v>3</v>
      </c>
      <c r="DC308" t="str">
        <v>Home</v>
      </c>
      <c r="DH308">
        <v>150</v>
      </c>
      <c r="DK308">
        <v>194</v>
      </c>
      <c r="DL308" t="str">
        <v>Data</v>
      </c>
      <c r="DN308">
        <v>202</v>
      </c>
      <c r="DO308" t="str">
        <v>Data</v>
      </c>
      <c r="DW308">
        <v>219</v>
      </c>
      <c r="DX308" t="str">
        <v>Data</v>
      </c>
    </row>
    <row r="309">
      <c r="BQ309">
        <v>4</v>
      </c>
      <c r="BR309" t="str">
        <v>Penempatan</v>
      </c>
      <c r="BX309">
        <v>181</v>
      </c>
      <c r="BY309" t="str">
        <v>Data Kotak</v>
      </c>
      <c r="CV309">
        <f>SUM(CV306:CV308)</f>
        <v>137</v>
      </c>
      <c r="CY309">
        <f>SUM(CY306:CY308)</f>
        <v>129</v>
      </c>
      <c r="DB309">
        <f>SUM(DB306:DB308)</f>
        <v>141</v>
      </c>
      <c r="DE309">
        <f>SUM(DE306:DE308)</f>
        <v>90</v>
      </c>
      <c r="DQ309">
        <v>194</v>
      </c>
      <c r="DR309" t="str">
        <v>Data</v>
      </c>
      <c r="DT309">
        <v>194</v>
      </c>
      <c r="EC309">
        <v>207</v>
      </c>
      <c r="ED309" t="str">
        <v>Data</v>
      </c>
      <c r="EF309">
        <v>200</v>
      </c>
      <c r="EG309" t="str">
        <v>Data</v>
      </c>
      <c r="EI309">
        <v>200</v>
      </c>
      <c r="EJ309" t="str">
        <v>Data</v>
      </c>
      <c r="EL309">
        <v>180</v>
      </c>
      <c r="EM309" t="str">
        <v>Data</v>
      </c>
      <c r="EO309">
        <v>180</v>
      </c>
      <c r="EP309" t="str">
        <v>Data</v>
      </c>
    </row>
    <row r="310">
      <c r="CD310">
        <v>192</v>
      </c>
      <c r="CE310" t="str">
        <v>All Data</v>
      </c>
    </row>
    <row r="311">
      <c r="ER311">
        <v>186</v>
      </c>
      <c r="ES311" t="str">
        <v>Data</v>
      </c>
    </row>
  </sheetData>
  <mergeCells count="52">
    <mergeCell ref="EU1:EU2"/>
    <mergeCell ref="R2:S2"/>
    <mergeCell ref="T2:U2"/>
    <mergeCell ref="V2:W2"/>
    <mergeCell ref="X2:Y2"/>
    <mergeCell ref="AM2:AO2"/>
    <mergeCell ref="A1:A2"/>
    <mergeCell ref="B1:B2"/>
    <mergeCell ref="C1:C2"/>
    <mergeCell ref="E1:K1"/>
    <mergeCell ref="O1:AN1"/>
    <mergeCell ref="Z2:AA2"/>
    <mergeCell ref="AB2:AC2"/>
    <mergeCell ref="AD2:AF2"/>
    <mergeCell ref="AG2:AI2"/>
    <mergeCell ref="AJ2:AL2"/>
    <mergeCell ref="BW2:BY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DG2:DI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EQ2:ES2"/>
    <mergeCell ref="DJ2:DL2"/>
    <mergeCell ref="DM2:DO2"/>
    <mergeCell ref="DP2:DR2"/>
    <mergeCell ref="DS2:DU2"/>
    <mergeCell ref="DV2:DX2"/>
    <mergeCell ref="DY2:EA2"/>
    <mergeCell ref="EB2:ED2"/>
    <mergeCell ref="EE2:EG2"/>
    <mergeCell ref="EH2:EJ2"/>
    <mergeCell ref="EK2:EM2"/>
    <mergeCell ref="EN2:EP2"/>
  </mergeCells>
  <hyperlinks>
    <hyperlink ref="F40" r:id="rId1"/>
    <hyperlink ref="F224" r:id="rId2"/>
  </hyperlinks>
  <pageMargins left="0.7" right="0.7" top="0.75" bottom="0.75" header="0.3" footer="0.3"/>
  <ignoredErrors>
    <ignoredError numberStoredAsText="1" sqref="A1:EV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2025-12-12T02:26:45Z</dcterms:created>
  <dcterms:modified xsi:type="dcterms:W3CDTF">2025-12-16T06:25:12Z</dcterms:modified>
  <cp:lastModifiedBy>Microsoft Office User</cp:lastModifiedBy>
  <dc:creator>ThinkPad</dc:creator>
</cp:coreProperties>
</file>